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bhix\Desktop\stock market\"/>
    </mc:Choice>
  </mc:AlternateContent>
  <xr:revisionPtr revIDLastSave="0" documentId="13_ncr:1_{2448A39C-8D44-415C-ABB2-C0696B08ED82}" xr6:coauthVersionLast="47" xr6:coauthVersionMax="47" xr10:uidLastSave="{00000000-0000-0000-0000-000000000000}"/>
  <bookViews>
    <workbookView xWindow="-110" yWindow="-110" windowWidth="19420" windowHeight="11020" activeTab="1" xr2:uid="{46D6109E-81C0-47F8-86E1-4F686BBFD939}"/>
  </bookViews>
  <sheets>
    <sheet name="Sheet3" sheetId="3" r:id="rId1"/>
    <sheet name="stock analysis" sheetId="1" r:id="rId2"/>
  </sheets>
  <calcPr calcId="181029"/>
  <pivotCaches>
    <pivotCache cacheId="33" r:id="rId3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</calcChain>
</file>

<file path=xl/sharedStrings.xml><?xml version="1.0" encoding="utf-8"?>
<sst xmlns="http://schemas.openxmlformats.org/spreadsheetml/2006/main" count="513" uniqueCount="266">
  <si>
    <t>Date</t>
  </si>
  <si>
    <t>Open</t>
  </si>
  <si>
    <t>High</t>
  </si>
  <si>
    <t>Low</t>
  </si>
  <si>
    <t>Vol.</t>
  </si>
  <si>
    <t>Change%</t>
  </si>
  <si>
    <t>Company</t>
  </si>
  <si>
    <t>439.57M</t>
  </si>
  <si>
    <t>952.84M</t>
  </si>
  <si>
    <t>724.47M</t>
  </si>
  <si>
    <t>627.19M</t>
  </si>
  <si>
    <t>1.13B</t>
  </si>
  <si>
    <t>1.05B</t>
  </si>
  <si>
    <t>915.68M</t>
  </si>
  <si>
    <t>742.39M</t>
  </si>
  <si>
    <t>724.50M</t>
  </si>
  <si>
    <t>927.69M</t>
  </si>
  <si>
    <t>946.02M</t>
  </si>
  <si>
    <t>1.22B</t>
  </si>
  <si>
    <t>756.53M</t>
  </si>
  <si>
    <t>586.45M</t>
  </si>
  <si>
    <t>630.18M</t>
  </si>
  <si>
    <t>1.03B</t>
  </si>
  <si>
    <t>843.37M</t>
  </si>
  <si>
    <t>928.73M</t>
  </si>
  <si>
    <t>609.57M</t>
  </si>
  <si>
    <t>771.63M</t>
  </si>
  <si>
    <t>593.45M</t>
  </si>
  <si>
    <t>562.50M</t>
  </si>
  <si>
    <t>253.23M</t>
  </si>
  <si>
    <t>306.00M</t>
  </si>
  <si>
    <t>260.32M</t>
  </si>
  <si>
    <t>304.52M</t>
  </si>
  <si>
    <t>228.86M</t>
  </si>
  <si>
    <t>296.64M</t>
  </si>
  <si>
    <t>236.68M</t>
  </si>
  <si>
    <t>283.97M</t>
  </si>
  <si>
    <t>233.62M</t>
  </si>
  <si>
    <t>401.29M</t>
  </si>
  <si>
    <t>676.46M</t>
  </si>
  <si>
    <t>429.12M</t>
  </si>
  <si>
    <t>259.27M</t>
  </si>
  <si>
    <t>312.80M</t>
  </si>
  <si>
    <t>225.68M</t>
  </si>
  <si>
    <t>259.85M</t>
  </si>
  <si>
    <t>250.43M</t>
  </si>
  <si>
    <t>257.21M</t>
  </si>
  <si>
    <t>269.42M</t>
  </si>
  <si>
    <t>300.78M</t>
  </si>
  <si>
    <t>218.27M</t>
  </si>
  <si>
    <t>316.83M</t>
  </si>
  <si>
    <t>471.54M</t>
  </si>
  <si>
    <t>360.31M</t>
  </si>
  <si>
    <t>398.72M</t>
  </si>
  <si>
    <t>406.42M</t>
  </si>
  <si>
    <t>448.94M</t>
  </si>
  <si>
    <t>512.00M</t>
  </si>
  <si>
    <t>511.26M</t>
  </si>
  <si>
    <t>417.04M</t>
  </si>
  <si>
    <t>584.47M</t>
  </si>
  <si>
    <t>705.58M</t>
  </si>
  <si>
    <t>935.98M</t>
  </si>
  <si>
    <t>766.40M</t>
  </si>
  <si>
    <t>HDFC</t>
  </si>
  <si>
    <t>104.69M</t>
  </si>
  <si>
    <t>106.46M</t>
  </si>
  <si>
    <t>124.18M</t>
  </si>
  <si>
    <t>134.37M</t>
  </si>
  <si>
    <t>124.67M</t>
  </si>
  <si>
    <t>192.52M</t>
  </si>
  <si>
    <t>177.13M</t>
  </si>
  <si>
    <t>175.22M</t>
  </si>
  <si>
    <t>185.45M</t>
  </si>
  <si>
    <t>136.19M</t>
  </si>
  <si>
    <t>101.67M</t>
  </si>
  <si>
    <t>166.98M</t>
  </si>
  <si>
    <t>130.08M</t>
  </si>
  <si>
    <t>85.76M</t>
  </si>
  <si>
    <t>115.66M</t>
  </si>
  <si>
    <t>101.54M</t>
  </si>
  <si>
    <t>107.16M</t>
  </si>
  <si>
    <t>212.49M</t>
  </si>
  <si>
    <t>125.30M</t>
  </si>
  <si>
    <t>153.76M</t>
  </si>
  <si>
    <t>181.90M</t>
  </si>
  <si>
    <t>142.67M</t>
  </si>
  <si>
    <t>99.35M</t>
  </si>
  <si>
    <t>142.09M</t>
  </si>
  <si>
    <t>127.68M</t>
  </si>
  <si>
    <t>91.94M</t>
  </si>
  <si>
    <t>105.11M</t>
  </si>
  <si>
    <t>171.48M</t>
  </si>
  <si>
    <t>92.40M</t>
  </si>
  <si>
    <t>115.13M</t>
  </si>
  <si>
    <t>139.14M</t>
  </si>
  <si>
    <t>176.04M</t>
  </si>
  <si>
    <t>170.70M</t>
  </si>
  <si>
    <t>154.42M</t>
  </si>
  <si>
    <t>128.93M</t>
  </si>
  <si>
    <t>141.62M</t>
  </si>
  <si>
    <t>109.47M</t>
  </si>
  <si>
    <t>104.53M</t>
  </si>
  <si>
    <t>144.44M</t>
  </si>
  <si>
    <t>113.96M</t>
  </si>
  <si>
    <t>132.75M</t>
  </si>
  <si>
    <t>109.51M</t>
  </si>
  <si>
    <t>147.30M</t>
  </si>
  <si>
    <t>110.64M</t>
  </si>
  <si>
    <t>174.38M</t>
  </si>
  <si>
    <t>170.80M</t>
  </si>
  <si>
    <t>135.88M</t>
  </si>
  <si>
    <t>206.72M</t>
  </si>
  <si>
    <t>205.79M</t>
  </si>
  <si>
    <t>208.54M</t>
  </si>
  <si>
    <t>285.00M</t>
  </si>
  <si>
    <t>232.40M</t>
  </si>
  <si>
    <t>155.09M</t>
  </si>
  <si>
    <t>397.11M</t>
  </si>
  <si>
    <t>240.82M</t>
  </si>
  <si>
    <t>180.61M</t>
  </si>
  <si>
    <t>288.56M</t>
  </si>
  <si>
    <t>279.90M</t>
  </si>
  <si>
    <t>400.77M</t>
  </si>
  <si>
    <t>297.71M</t>
  </si>
  <si>
    <t>259.57M</t>
  </si>
  <si>
    <t>230.09M</t>
  </si>
  <si>
    <t>319.05M</t>
  </si>
  <si>
    <t>240.62M</t>
  </si>
  <si>
    <t>219.50M</t>
  </si>
  <si>
    <t>226.19M</t>
  </si>
  <si>
    <t>238.81M</t>
  </si>
  <si>
    <t>265.96M</t>
  </si>
  <si>
    <t>255.46M</t>
  </si>
  <si>
    <t>207.13M</t>
  </si>
  <si>
    <t>205.67M</t>
  </si>
  <si>
    <t>317.03M</t>
  </si>
  <si>
    <t>298.48M</t>
  </si>
  <si>
    <t>396.85M</t>
  </si>
  <si>
    <t>206.50M</t>
  </si>
  <si>
    <t>201.74M</t>
  </si>
  <si>
    <t>193.68M</t>
  </si>
  <si>
    <t>321.23M</t>
  </si>
  <si>
    <t>282.17M</t>
  </si>
  <si>
    <t>263.64M</t>
  </si>
  <si>
    <t>182.61M</t>
  </si>
  <si>
    <t>208.83M</t>
  </si>
  <si>
    <t>189.00M</t>
  </si>
  <si>
    <t>237.70M</t>
  </si>
  <si>
    <t>217.09M</t>
  </si>
  <si>
    <t>394.02M</t>
  </si>
  <si>
    <t>324.62M</t>
  </si>
  <si>
    <t>372.66M</t>
  </si>
  <si>
    <t>272.42M</t>
  </si>
  <si>
    <t>290.05M</t>
  </si>
  <si>
    <t>231.77M</t>
  </si>
  <si>
    <t>253.42M</t>
  </si>
  <si>
    <t>264.36M</t>
  </si>
  <si>
    <t>296.50M</t>
  </si>
  <si>
    <t>215.77M</t>
  </si>
  <si>
    <t>303.66M</t>
  </si>
  <si>
    <t>260.36M</t>
  </si>
  <si>
    <t>198.83M</t>
  </si>
  <si>
    <t>464.78M</t>
  </si>
  <si>
    <t>345.55M</t>
  </si>
  <si>
    <t>301.99M</t>
  </si>
  <si>
    <t>388.27M</t>
  </si>
  <si>
    <t>482.25M</t>
  </si>
  <si>
    <t>600.10M</t>
  </si>
  <si>
    <t>465.54M</t>
  </si>
  <si>
    <t>864.45M</t>
  </si>
  <si>
    <t>519.66M</t>
  </si>
  <si>
    <t>757.54M</t>
  </si>
  <si>
    <t>766.53M</t>
  </si>
  <si>
    <t>1.23B</t>
  </si>
  <si>
    <t>795.37M</t>
  </si>
  <si>
    <t>927.84M</t>
  </si>
  <si>
    <t>44.35M</t>
  </si>
  <si>
    <t>41.29M</t>
  </si>
  <si>
    <t>51.09M</t>
  </si>
  <si>
    <t>46.73M</t>
  </si>
  <si>
    <t>44.30M</t>
  </si>
  <si>
    <t>69.79M</t>
  </si>
  <si>
    <t>49.07M</t>
  </si>
  <si>
    <t>48.49M</t>
  </si>
  <si>
    <t>50.10M</t>
  </si>
  <si>
    <t>57.51M</t>
  </si>
  <si>
    <t>43.41M</t>
  </si>
  <si>
    <t>48.25M</t>
  </si>
  <si>
    <t>45.57M</t>
  </si>
  <si>
    <t>36.38M</t>
  </si>
  <si>
    <t>39.82M</t>
  </si>
  <si>
    <t>38.44M</t>
  </si>
  <si>
    <t>35.92M</t>
  </si>
  <si>
    <t>47.66M</t>
  </si>
  <si>
    <t>38.36M</t>
  </si>
  <si>
    <t>36.62M</t>
  </si>
  <si>
    <t>43.82M</t>
  </si>
  <si>
    <t>40.00M</t>
  </si>
  <si>
    <t>31.34M</t>
  </si>
  <si>
    <t>39.92M</t>
  </si>
  <si>
    <t>32.37M</t>
  </si>
  <si>
    <t>35.50M</t>
  </si>
  <si>
    <t>36.56M</t>
  </si>
  <si>
    <t>53.94M</t>
  </si>
  <si>
    <t>34.34M</t>
  </si>
  <si>
    <t>59.85M</t>
  </si>
  <si>
    <t>50.69M</t>
  </si>
  <si>
    <t>51.12M</t>
  </si>
  <si>
    <t>43.30M</t>
  </si>
  <si>
    <t>50.56M</t>
  </si>
  <si>
    <t>66.97M</t>
  </si>
  <si>
    <t>66.33M</t>
  </si>
  <si>
    <t>44.72M</t>
  </si>
  <si>
    <t>43.27M</t>
  </si>
  <si>
    <t>71.25M</t>
  </si>
  <si>
    <t>50.57M</t>
  </si>
  <si>
    <t>56.68M</t>
  </si>
  <si>
    <t>45.08M</t>
  </si>
  <si>
    <t>43.54M</t>
  </si>
  <si>
    <t>61.33M</t>
  </si>
  <si>
    <t>71.84M</t>
  </si>
  <si>
    <t>65.46M</t>
  </si>
  <si>
    <t>84.69M</t>
  </si>
  <si>
    <t>62.83M</t>
  </si>
  <si>
    <t>65.14M</t>
  </si>
  <si>
    <t>128.62M</t>
  </si>
  <si>
    <t>116.41M</t>
  </si>
  <si>
    <t>65.56M</t>
  </si>
  <si>
    <t>106.38M</t>
  </si>
  <si>
    <t>73.99M</t>
  </si>
  <si>
    <t>65.35M</t>
  </si>
  <si>
    <t>TCS</t>
  </si>
  <si>
    <t>INFOSYS</t>
  </si>
  <si>
    <t>RELINACE</t>
  </si>
  <si>
    <t>Monthly return%</t>
  </si>
  <si>
    <t xml:space="preserve">Close </t>
  </si>
  <si>
    <t>Price Range</t>
  </si>
  <si>
    <t>Row Labels</t>
  </si>
  <si>
    <t>Grand Total</t>
  </si>
  <si>
    <t xml:space="preserve">Average of Close </t>
  </si>
  <si>
    <t>Sum of Monthly return%</t>
  </si>
  <si>
    <t>2020</t>
  </si>
  <si>
    <t>May</t>
  </si>
  <si>
    <t>Jun</t>
  </si>
  <si>
    <t>Jul</t>
  </si>
  <si>
    <t>Aug</t>
  </si>
  <si>
    <t>Sep</t>
  </si>
  <si>
    <t>Oct</t>
  </si>
  <si>
    <t>Nov</t>
  </si>
  <si>
    <t>Dec</t>
  </si>
  <si>
    <t>2021</t>
  </si>
  <si>
    <t>Jan</t>
  </si>
  <si>
    <t>Feb</t>
  </si>
  <si>
    <t>Mar</t>
  </si>
  <si>
    <t>Apr</t>
  </si>
  <si>
    <t>2022</t>
  </si>
  <si>
    <t>2023</t>
  </si>
  <si>
    <t>2024</t>
  </si>
  <si>
    <t>Column Labels</t>
  </si>
  <si>
    <t>Average of Price Range</t>
  </si>
  <si>
    <t>Average of Monthly return%</t>
  </si>
  <si>
    <t>T-3 Stock Price Trend Over Time</t>
  </si>
  <si>
    <t>T-1 Average Closing Price by Company</t>
  </si>
  <si>
    <t>T-2 Average Monthly Return % by Company</t>
  </si>
  <si>
    <t>T-5 Best and Worst Months by Return %</t>
  </si>
  <si>
    <t xml:space="preserve"> T-4 Volatility Analysis (Price Range by Company)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</si>
</sst>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x" refreshedDate="46142.693560532411" createdVersion="7" refreshedVersion="7" minRefreshableVersion="3" recordCount="224" xr:uid="{BC2D2406-008B-49D7-8518-00FC7A1947F5}">
  <cacheSource type="worksheet">
    <worksheetSource name="Table1"/>
  </cacheSource>
  <cacheFields count="12">
    <cacheField name="Date" numFmtId="14">
      <sharedItems containsSemiMixedTypes="0" containsNonDate="0" containsDate="1" containsString="0" minDate="2020-05-01T00:00:00" maxDate="2024-12-02T00:00:00" count="56">
        <d v="2024-12-01T00:00:00"/>
        <d v="2024-11-01T00:00:00"/>
        <d v="2024-10-01T00:00:00"/>
        <d v="2024-09-01T00:00:00"/>
        <d v="2024-08-01T00:00:00"/>
        <d v="2024-07-01T00:00:00"/>
        <d v="2024-06-01T00:00:00"/>
        <d v="2024-05-01T00:00:00"/>
        <d v="2024-04-01T00:00:00"/>
        <d v="2024-03-01T00:00:00"/>
        <d v="2024-02-01T00:00:00"/>
        <d v="2024-01-01T00:00:00"/>
        <d v="2023-12-01T00:00:00"/>
        <d v="2023-11-01T00:00:00"/>
        <d v="2023-10-01T00:00:00"/>
        <d v="2023-09-01T00:00:00"/>
        <d v="2023-08-01T00:00:00"/>
        <d v="2023-07-01T00:00:00"/>
        <d v="2023-06-01T00:00:00"/>
        <d v="2023-05-01T00:00:00"/>
        <d v="2023-04-01T00:00:00"/>
        <d v="2023-03-01T00:00:00"/>
        <d v="2023-02-01T00:00:00"/>
        <d v="2023-01-01T00:00:00"/>
        <d v="2022-12-01T00:00:00"/>
        <d v="2022-11-01T00:00:00"/>
        <d v="2022-10-01T00:00:00"/>
        <d v="2022-09-01T00:00:00"/>
        <d v="2022-08-01T00:00:00"/>
        <d v="2022-07-01T00:00:00"/>
        <d v="2022-06-01T00:00:00"/>
        <d v="2022-05-01T00:00:00"/>
        <d v="2022-04-01T00:00:00"/>
        <d v="2022-03-01T00:00:00"/>
        <d v="2022-02-01T00:00:00"/>
        <d v="2022-01-01T00:00:00"/>
        <d v="2021-12-01T00:00:00"/>
        <d v="2021-11-01T00:00:00"/>
        <d v="2021-10-01T00:00:00"/>
        <d v="2021-09-01T00:00:00"/>
        <d v="2021-08-01T00:00:00"/>
        <d v="2021-07-01T00:00:00"/>
        <d v="2021-06-01T00:00:00"/>
        <d v="2021-05-01T00:00:00"/>
        <d v="2021-04-01T00:00:00"/>
        <d v="2021-03-01T00:00:00"/>
        <d v="2021-02-01T00:00:00"/>
        <d v="2021-01-01T00:00:00"/>
        <d v="2020-12-01T00:00:00"/>
        <d v="2020-11-01T00:00:00"/>
        <d v="2020-10-01T00:00:00"/>
        <d v="2020-09-01T00:00:00"/>
        <d v="2020-08-01T00:00:00"/>
        <d v="2020-07-01T00:00:00"/>
        <d v="2020-06-01T00:00:00"/>
        <d v="2020-05-01T00:00:00"/>
      </sharedItems>
      <fieldGroup par="11" base="0">
        <rangePr groupBy="months" startDate="2020-05-01T00:00:00" endDate="2024-12-02T00:00:00"/>
        <groupItems count="14">
          <s v="&lt;01-05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4"/>
        </groupItems>
      </fieldGroup>
    </cacheField>
    <cacheField name="Company" numFmtId="14">
      <sharedItems count="4">
        <s v="HDFC"/>
        <s v="INFOSYS"/>
        <s v="RELINACE"/>
        <s v="TCS"/>
      </sharedItems>
    </cacheField>
    <cacheField name="Close " numFmtId="0">
      <sharedItems containsSemiMixedTypes="0" containsString="0" containsNumber="1" minValue="474.64" maxValue="4553.75"/>
    </cacheField>
    <cacheField name="Open" numFmtId="0">
      <sharedItems containsSemiMixedTypes="0" containsString="0" containsNumber="1" minValue="477.56" maxValue="4576"/>
    </cacheField>
    <cacheField name="High" numFmtId="0">
      <sharedItems containsSemiMixedTypes="0" containsString="0" containsNumber="1" minValue="478.81" maxValue="4592.25"/>
    </cacheField>
    <cacheField name="Low" numFmtId="0">
      <sharedItems containsSemiMixedTypes="0" containsString="0" containsNumber="1" minValue="412.02" maxValue="4227.5"/>
    </cacheField>
    <cacheField name="Vol." numFmtId="0">
      <sharedItems/>
    </cacheField>
    <cacheField name="Change%" numFmtId="10">
      <sharedItems containsSemiMixedTypes="0" containsString="0" containsNumber="1" minValue="-0.1779" maxValue="0.31259999999999999"/>
    </cacheField>
    <cacheField name="Monthly return%" numFmtId="0">
      <sharedItems containsSemiMixedTypes="0" containsString="0" containsNumber="1" minValue="-16.922314366725651" maxValue="31.027662592754258"/>
    </cacheField>
    <cacheField name="Price Range" numFmtId="0">
      <sharedItems containsSemiMixedTypes="0" containsString="0" containsNumber="1" minValue="35.710000000000036" maxValue="621.57000000000016"/>
    </cacheField>
    <cacheField name="Quarters" numFmtId="0" databaseField="0">
      <fieldGroup base="0">
        <rangePr groupBy="quarters" startDate="2020-05-01T00:00:00" endDate="2024-12-02T00:00:00"/>
        <groupItems count="6">
          <s v="&lt;01-05-2020"/>
          <s v="Qtr1"/>
          <s v="Qtr2"/>
          <s v="Qtr3"/>
          <s v="Qtr4"/>
          <s v="&gt;02-12-2024"/>
        </groupItems>
      </fieldGroup>
    </cacheField>
    <cacheField name="Years" numFmtId="0" databaseField="0">
      <fieldGroup base="0">
        <rangePr groupBy="years" startDate="2020-05-01T00:00:00" endDate="2024-12-02T00:00:00"/>
        <groupItems count="7">
          <s v="&lt;01-05-2020"/>
          <s v="2020"/>
          <s v="2021"/>
          <s v="2022"/>
          <s v="2023"/>
          <s v="2024"/>
          <s v="&gt;02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x v="0"/>
    <x v="0"/>
    <n v="884.22"/>
    <n v="899.51"/>
    <n v="937.67"/>
    <n v="880.61"/>
    <s v="439.57M"/>
    <n v="-1.29E-2"/>
    <n v="-1.6998143433647166"/>
    <n v="57.059999999999945"/>
  </r>
  <r>
    <x v="1"/>
    <x v="0"/>
    <n v="895.8"/>
    <n v="864.35"/>
    <n v="915.77"/>
    <n v="833.97"/>
    <s v="952.84M"/>
    <n v="3.4799999999999998E-2"/>
    <n v="3.6385723375947165"/>
    <n v="81.799999999999955"/>
  </r>
  <r>
    <x v="2"/>
    <x v="0"/>
    <n v="865.7"/>
    <n v="859.86"/>
    <n v="882.13"/>
    <n v="804.5"/>
    <s v="724.47M"/>
    <n v="2.0999999999999999E-3"/>
    <n v="0.67918033168190539"/>
    <n v="77.63"/>
  </r>
  <r>
    <x v="3"/>
    <x v="0"/>
    <n v="863.88"/>
    <n v="821.36"/>
    <n v="891.78"/>
    <n v="809.59"/>
    <s v="627.19M"/>
    <n v="5.8099999999999999E-2"/>
    <n v="5.1767799746761449"/>
    <n v="82.189999999999941"/>
  </r>
  <r>
    <x v="4"/>
    <x v="0"/>
    <n v="816.42"/>
    <n v="809.44"/>
    <n v="835.9"/>
    <n v="794.67"/>
    <s v="1.13B"/>
    <n v="1.3100000000000001E-2"/>
    <n v="0.86232457007312502"/>
    <n v="41.230000000000018"/>
  </r>
  <r>
    <x v="5"/>
    <x v="0"/>
    <n v="805.87"/>
    <n v="837.92"/>
    <n v="894.77"/>
    <n v="792.05"/>
    <s v="1.05B"/>
    <n v="-4.0399999999999998E-2"/>
    <n v="-3.8249474890204263"/>
    <n v="102.72000000000003"/>
  </r>
  <r>
    <x v="6"/>
    <x v="0"/>
    <n v="839.81"/>
    <n v="797.52"/>
    <n v="856.34"/>
    <n v="725.2"/>
    <s v="915.68M"/>
    <n v="9.9400000000000002E-2"/>
    <n v="5.302688333834884"/>
    <n v="131.13999999999999"/>
  </r>
  <r>
    <x v="7"/>
    <x v="0"/>
    <n v="763.87"/>
    <n v="759.11"/>
    <n v="770.58"/>
    <n v="711.63"/>
    <s v="742.39M"/>
    <n v="7.4999999999999997E-3"/>
    <n v="0.62705009814124313"/>
    <n v="58.950000000000045"/>
  </r>
  <r>
    <x v="8"/>
    <x v="0"/>
    <n v="758.16"/>
    <n v="727.19"/>
    <n v="776.77"/>
    <n v="725.99"/>
    <s v="724.50M"/>
    <n v="4.99E-2"/>
    <n v="4.2588594452618871"/>
    <n v="50.779999999999973"/>
  </r>
  <r>
    <x v="9"/>
    <x v="0"/>
    <n v="722.15"/>
    <n v="698.26"/>
    <n v="733.97"/>
    <n v="698.26"/>
    <s v="927.69M"/>
    <n v="3.1699999999999999E-2"/>
    <n v="3.4213616704379439"/>
    <n v="35.710000000000036"/>
  </r>
  <r>
    <x v="10"/>
    <x v="0"/>
    <n v="699.96"/>
    <n v="730.71"/>
    <n v="738.59"/>
    <n v="680.08"/>
    <s v="946.02M"/>
    <n v="-4.0399999999999998E-2"/>
    <n v="-4.2082358254300605"/>
    <n v="58.509999999999991"/>
  </r>
  <r>
    <x v="11"/>
    <x v="0"/>
    <n v="729.46"/>
    <n v="850.88"/>
    <n v="852.45"/>
    <n v="688.41"/>
    <s v="1.22B"/>
    <n v="-0.14430000000000001"/>
    <n v="-14.269932305377958"/>
    <n v="164.04000000000008"/>
  </r>
  <r>
    <x v="12"/>
    <x v="0"/>
    <n v="852.5"/>
    <n v="777.02"/>
    <n v="858.56"/>
    <n v="774.12"/>
    <s v="756.53M"/>
    <n v="9.6500000000000002E-2"/>
    <n v="9.7140356747574099"/>
    <n v="84.439999999999941"/>
  </r>
  <r>
    <x v="13"/>
    <x v="0"/>
    <n v="777.47"/>
    <n v="729.31"/>
    <n v="784.27"/>
    <n v="729.31"/>
    <s v="586.45M"/>
    <n v="5.57E-2"/>
    <n v="6.6035019401900543"/>
    <n v="54.960000000000036"/>
  </r>
  <r>
    <x v="14"/>
    <x v="0"/>
    <n v="736.42"/>
    <n v="761.6"/>
    <n v="775.94"/>
    <n v="728.31"/>
    <s v="630.18M"/>
    <n v="-3.2599999999999997E-2"/>
    <n v="-3.3061974789916051"/>
    <n v="47.630000000000109"/>
  </r>
  <r>
    <x v="15"/>
    <x v="0"/>
    <n v="761.26"/>
    <n v="783.55"/>
    <n v="832.93"/>
    <n v="755.62"/>
    <s v="1.03B"/>
    <n v="-2.87E-2"/>
    <n v="-2.8447450705124071"/>
    <n v="77.309999999999945"/>
  </r>
  <r>
    <x v="16"/>
    <x v="0"/>
    <n v="783.77"/>
    <n v="825.17"/>
    <n v="831.66"/>
    <n v="777.27"/>
    <s v="843.37M"/>
    <n v="-4.8300000000000003E-2"/>
    <n v="-5.0171479816280256"/>
    <n v="54.389999999999986"/>
  </r>
  <r>
    <x v="17"/>
    <x v="0"/>
    <n v="823.55"/>
    <n v="854.12"/>
    <n v="876.57"/>
    <n v="811.56"/>
    <s v="928.73M"/>
    <n v="-2.9499999999999998E-2"/>
    <n v="-3.5791223715637206"/>
    <n v="65.010000000000105"/>
  </r>
  <r>
    <x v="18"/>
    <x v="0"/>
    <n v="848.59"/>
    <n v="807.94"/>
    <n v="852.28"/>
    <n v="787.54"/>
    <s v="609.57M"/>
    <n v="5.62E-2"/>
    <n v="5.0313142065004799"/>
    <n v="64.740000000000009"/>
  </r>
  <r>
    <x v="19"/>
    <x v="0"/>
    <n v="803.43"/>
    <n v="842.25"/>
    <n v="865.07"/>
    <n v="796.69"/>
    <s v="771.63M"/>
    <n v="-4.5499999999999999E-2"/>
    <n v="-4.6090828138913684"/>
    <n v="68.38"/>
  </r>
  <r>
    <x v="20"/>
    <x v="0"/>
    <n v="841.71"/>
    <n v="801.78"/>
    <n v="857.87"/>
    <n v="799.39"/>
    <s v="593.45M"/>
    <n v="4.8500000000000001E-2"/>
    <n v="4.9801691236997767"/>
    <n v="58.480000000000018"/>
  </r>
  <r>
    <x v="21"/>
    <x v="0"/>
    <n v="802.78"/>
    <n v="804"/>
    <n v="820.93"/>
    <n v="764.12"/>
    <s v="562.50M"/>
    <n v="6.1999999999999998E-3"/>
    <n v="-0.15174129353234173"/>
    <n v="56.809999999999945"/>
  </r>
  <r>
    <x v="22"/>
    <x v="0"/>
    <n v="797.81"/>
    <n v="809.98"/>
    <n v="838.86"/>
    <n v="786.69"/>
    <s v="253.23M"/>
    <n v="-2.3999999999999998E-3"/>
    <n v="-1.5025062347218539"/>
    <n v="52.169999999999959"/>
  </r>
  <r>
    <x v="23"/>
    <x v="0"/>
    <n v="799.76"/>
    <n v="811.48"/>
    <n v="849.09"/>
    <n v="778.06"/>
    <s v="306.00M"/>
    <n v="-1.5100000000000001E-2"/>
    <n v="-1.444274658648399"/>
    <n v="71.030000000000086"/>
  </r>
  <r>
    <x v="24"/>
    <x v="0"/>
    <n v="812.05"/>
    <n v="808.99"/>
    <n v="832.63"/>
    <n v="790.76"/>
    <s v="260.32M"/>
    <n v="1.2200000000000001E-2"/>
    <n v="0.3782494221189317"/>
    <n v="41.870000000000005"/>
  </r>
  <r>
    <x v="25"/>
    <x v="0"/>
    <n v="802.23"/>
    <n v="749.88"/>
    <n v="818.96"/>
    <n v="742.95"/>
    <s v="304.52M"/>
    <n v="7.4700000000000003E-2"/>
    <n v="6.9811169787165976"/>
    <n v="76.009999999999991"/>
  </r>
  <r>
    <x v="26"/>
    <x v="0"/>
    <n v="746.49"/>
    <n v="703.23"/>
    <n v="747.14"/>
    <n v="690.28"/>
    <s v="228.86M"/>
    <n v="5.2999999999999999E-2"/>
    <n v="6.1516146922059622"/>
    <n v="56.860000000000014"/>
  </r>
  <r>
    <x v="27"/>
    <x v="0"/>
    <n v="708.91"/>
    <n v="730.56"/>
    <n v="768.56"/>
    <n v="680.81"/>
    <s v="296.64M"/>
    <n v="-4.36E-2"/>
    <n v="-2.9634800700832211"/>
    <n v="87.75"/>
  </r>
  <r>
    <x v="28"/>
    <x v="0"/>
    <n v="741.21"/>
    <n v="717.71"/>
    <n v="755.07"/>
    <n v="704.72"/>
    <s v="236.68M"/>
    <n v="3.6200000000000003E-2"/>
    <n v="3.2743029914589461"/>
    <n v="50.350000000000023"/>
  </r>
  <r>
    <x v="29"/>
    <x v="0"/>
    <n v="715.32"/>
    <n v="670.31"/>
    <n v="717.51"/>
    <n v="663.37"/>
    <s v="283.97M"/>
    <n v="6.3899999999999998E-2"/>
    <n v="6.7148035983351146"/>
    <n v="54.139999999999986"/>
  </r>
  <r>
    <x v="30"/>
    <x v="0"/>
    <n v="672.33"/>
    <n v="688.29"/>
    <n v="698.64"/>
    <n v="634.22"/>
    <s v="233.62M"/>
    <n v="-2.9499999999999998E-2"/>
    <n v="-2.3187900448938565"/>
    <n v="64.419999999999959"/>
  </r>
  <r>
    <x v="31"/>
    <x v="0"/>
    <n v="692.75"/>
    <n v="679.33"/>
    <n v="708.49"/>
    <n v="637.55999999999995"/>
    <s v="401.29M"/>
    <n v="3.0999999999999999E-3"/>
    <n v="1.975475836485943"/>
    <n v="70.930000000000064"/>
  </r>
  <r>
    <x v="32"/>
    <x v="0"/>
    <n v="690.58"/>
    <n v="736.37"/>
    <n v="858.91"/>
    <n v="659.48"/>
    <s v="676.46M"/>
    <n v="-5.8299999999999998E-2"/>
    <n v="-6.2183413229762161"/>
    <n v="199.42999999999995"/>
  </r>
  <r>
    <x v="33"/>
    <x v="0"/>
    <n v="733.35"/>
    <n v="691.53"/>
    <n v="757.52"/>
    <n v="644.4"/>
    <s v="429.12M"/>
    <n v="3.09E-2"/>
    <n v="6.0474599800442572"/>
    <n v="113.12"/>
  </r>
  <r>
    <x v="34"/>
    <x v="0"/>
    <n v="711.36"/>
    <n v="752.38"/>
    <n v="768.06"/>
    <n v="701.83"/>
    <s v="259.27M"/>
    <n v="-0.04"/>
    <n v="-5.4520322177622988"/>
    <n v="66.229999999999905"/>
  </r>
  <r>
    <x v="35"/>
    <x v="0"/>
    <n v="741.01"/>
    <n v="740.66"/>
    <n v="786.37"/>
    <n v="715.72"/>
    <s v="312.80M"/>
    <n v="4.3E-3"/>
    <n v="4.7255150811441514E-2"/>
    <n v="70.649999999999977"/>
  </r>
  <r>
    <x v="36"/>
    <x v="0"/>
    <n v="737.86"/>
    <n v="745.64"/>
    <n v="775.6"/>
    <n v="705.3"/>
    <s v="225.68M"/>
    <n v="-9.4999999999999998E-3"/>
    <n v="-1.0433989592832966"/>
    <n v="70.300000000000068"/>
  </r>
  <r>
    <x v="37"/>
    <x v="0"/>
    <n v="744.92"/>
    <n v="790.53"/>
    <n v="808.99"/>
    <n v="729.19"/>
    <s v="259.85M"/>
    <n v="-5.6399999999999999E-2"/>
    <n v="-5.7695470127635904"/>
    <n v="79.799999999999955"/>
  </r>
  <r>
    <x v="38"/>
    <x v="0"/>
    <n v="789.46"/>
    <n v="789.54"/>
    <n v="860.36"/>
    <n v="778.06"/>
    <s v="250.43M"/>
    <n v="-7.6E-3"/>
    <n v="-1.0132482204818914E-2"/>
    <n v="82.300000000000068"/>
  </r>
  <r>
    <x v="39"/>
    <x v="0"/>
    <n v="795.5"/>
    <n v="785.55"/>
    <n v="815.72"/>
    <n v="762.58"/>
    <s v="257.21M"/>
    <n v="8.6E-3"/>
    <n v="1.26662847686335"/>
    <n v="53.139999999999986"/>
  </r>
  <r>
    <x v="40"/>
    <x v="0"/>
    <n v="788.74"/>
    <n v="715.72"/>
    <n v="789.71"/>
    <n v="703.25"/>
    <s v="269.42M"/>
    <n v="0.1086"/>
    <n v="10.202313753982001"/>
    <n v="86.460000000000036"/>
  </r>
  <r>
    <x v="41"/>
    <x v="0"/>
    <n v="711.45"/>
    <n v="749.14"/>
    <n v="770.76"/>
    <n v="700.26"/>
    <s v="300.78M"/>
    <n v="-4.7699999999999999E-2"/>
    <n v="-5.0311023306724971"/>
    <n v="70.5"/>
  </r>
  <r>
    <x v="42"/>
    <x v="0"/>
    <n v="747.09"/>
    <n v="758.26"/>
    <n v="761.6"/>
    <n v="725.69"/>
    <s v="218.27M"/>
    <n v="-1.18E-2"/>
    <n v="-1.4731094875108748"/>
    <n v="35.909999999999968"/>
  </r>
  <r>
    <x v="43"/>
    <x v="0"/>
    <n v="756.04"/>
    <n v="694.77"/>
    <n v="758.34"/>
    <n v="686.94"/>
    <s v="316.83M"/>
    <n v="7.3300000000000004E-2"/>
    <n v="8.8187457719820923"/>
    <n v="71.399999999999977"/>
  </r>
  <r>
    <x v="44"/>
    <x v="0"/>
    <n v="704.4"/>
    <n v="747.84"/>
    <n v="749.96"/>
    <n v="674.82"/>
    <s v="471.54M"/>
    <n v="-5.45E-2"/>
    <n v="-5.8087291399229848"/>
    <n v="75.139999999999986"/>
  </r>
  <r>
    <x v="45"/>
    <x v="0"/>
    <n v="744.97"/>
    <n v="780.06"/>
    <n v="798.01"/>
    <n v="723.33"/>
    <s v="360.31M"/>
    <n v="-2.6599999999999999E-2"/>
    <n v="-4.4983719201086991"/>
    <n v="74.67999999999995"/>
  </r>
  <r>
    <x v="46"/>
    <x v="0"/>
    <n v="765.3"/>
    <n v="703.37"/>
    <n v="818.46"/>
    <n v="698.76"/>
    <s v="398.72M"/>
    <n v="0.10349999999999999"/>
    <n v="8.8047542545175297"/>
    <n v="119.70000000000005"/>
  </r>
  <r>
    <x v="47"/>
    <x v="0"/>
    <n v="693.52"/>
    <n v="718.21"/>
    <n v="753.95"/>
    <n v="669.33"/>
    <s v="406.42M"/>
    <n v="-3.1899999999999998E-2"/>
    <n v="-3.4377132036591043"/>
    <n v="84.62"/>
  </r>
  <r>
    <x v="48"/>
    <x v="0"/>
    <n v="716.37"/>
    <n v="718.64"/>
    <n v="722.7"/>
    <n v="670.83"/>
    <s v="448.94M"/>
    <n v="-3.2000000000000002E-3"/>
    <n v="-0.31587442947790018"/>
    <n v="51.870000000000005"/>
  </r>
  <r>
    <x v="49"/>
    <x v="0"/>
    <n v="718.64"/>
    <n v="595.69000000000005"/>
    <n v="730.38"/>
    <n v="587.29"/>
    <s v="512.00M"/>
    <n v="0.21740000000000001"/>
    <n v="20.639930165018704"/>
    <n v="143.09000000000003"/>
  </r>
  <r>
    <x v="50"/>
    <x v="0"/>
    <n v="590.30999999999995"/>
    <n v="543.70000000000005"/>
    <n v="623.95000000000005"/>
    <n v="543.70000000000005"/>
    <s v="511.26M"/>
    <n v="9.7299999999999998E-2"/>
    <n v="8.5727423211329583"/>
    <n v="80.25"/>
  </r>
  <r>
    <x v="51"/>
    <x v="0"/>
    <n v="537.96"/>
    <n v="562.6"/>
    <n v="571.54999999999995"/>
    <n v="511.23"/>
    <s v="417.04M"/>
    <n v="-3.3399999999999999E-2"/>
    <n v="-4.3796658371844979"/>
    <n v="60.319999999999936"/>
  </r>
  <r>
    <x v="52"/>
    <x v="0"/>
    <n v="556.54"/>
    <n v="511.7"/>
    <n v="572.97"/>
    <n v="495.27"/>
    <s v="584.47M"/>
    <n v="8.0399999999999999E-2"/>
    <n v="8.7629470392808244"/>
    <n v="77.700000000000045"/>
  </r>
  <r>
    <x v="53"/>
    <x v="0"/>
    <n v="515.12"/>
    <n v="531.6"/>
    <n v="577.54"/>
    <n v="508.76"/>
    <s v="705.58M"/>
    <n v="-3.1E-2"/>
    <n v="-3.1000752445447737"/>
    <n v="68.779999999999973"/>
  </r>
  <r>
    <x v="54"/>
    <x v="0"/>
    <n v="531.6"/>
    <n v="486.29"/>
    <n v="539.96"/>
    <n v="462.85"/>
    <s v="935.98M"/>
    <n v="0.12"/>
    <n v="9.3174854510682934"/>
    <n v="77.110000000000014"/>
  </r>
  <r>
    <x v="55"/>
    <x v="0"/>
    <n v="474.64"/>
    <n v="477.56"/>
    <n v="478.81"/>
    <n v="412.02"/>
    <s v="766.40M"/>
    <n v="-5.0099999999999999E-2"/>
    <n v="-0.61144149426250438"/>
    <n v="66.79000000000002"/>
  </r>
  <r>
    <x v="0"/>
    <x v="1"/>
    <n v="1880"/>
    <n v="1859"/>
    <n v="2006.45"/>
    <n v="1835.2"/>
    <s v="104.69M"/>
    <n v="1.1900000000000001E-2"/>
    <n v="1.1296395911780528"/>
    <n v="171.25"/>
  </r>
  <r>
    <x v="1"/>
    <x v="1"/>
    <n v="1857.85"/>
    <n v="1764.5"/>
    <n v="1941.4"/>
    <n v="1718"/>
    <s v="106.46M"/>
    <n v="5.7200000000000001E-2"/>
    <n v="5.2904505525644607"/>
    <n v="223.40000000000009"/>
  </r>
  <r>
    <x v="2"/>
    <x v="1"/>
    <n v="1757.25"/>
    <n v="1875"/>
    <n v="1991.45"/>
    <n v="1746.5"/>
    <s v="124.18M"/>
    <n v="-6.3100000000000003E-2"/>
    <n v="-6.2799999999999994"/>
    <n v="244.95000000000005"/>
  </r>
  <r>
    <x v="3"/>
    <x v="1"/>
    <n v="1875.6"/>
    <n v="1943.35"/>
    <n v="1975.75"/>
    <n v="1867.4"/>
    <s v="134.37M"/>
    <n v="-3.5000000000000003E-2"/>
    <n v="-3.4862479738595726"/>
    <n v="108.34999999999991"/>
  </r>
  <r>
    <x v="4"/>
    <x v="1"/>
    <n v="1943.7"/>
    <n v="1856.1"/>
    <n v="1951"/>
    <n v="1718.55"/>
    <s v="124.67M"/>
    <n v="4.0399999999999998E-2"/>
    <n v="4.7195732988524401"/>
    <n v="232.45000000000005"/>
  </r>
  <r>
    <x v="5"/>
    <x v="1"/>
    <n v="1868.25"/>
    <n v="1559.5"/>
    <n v="1903"/>
    <n v="1559.5"/>
    <s v="192.52M"/>
    <n v="0.19239999999999999"/>
    <n v="19.798012183392114"/>
    <n v="343.5"/>
  </r>
  <r>
    <x v="6"/>
    <x v="1"/>
    <n v="1566.75"/>
    <n v="1440"/>
    <n v="1588.5"/>
    <n v="1358.35"/>
    <s v="177.13M"/>
    <n v="0.11360000000000001"/>
    <n v="8.8020833333333339"/>
    <n v="230.15000000000009"/>
  </r>
  <r>
    <x v="7"/>
    <x v="1"/>
    <n v="1406.9"/>
    <n v="1405.08"/>
    <n v="1471.31"/>
    <n v="1395.34"/>
    <s v="175.22M"/>
    <n v="-4.0000000000000001E-3"/>
    <n v="0.12952999117489136"/>
    <n v="75.970000000000027"/>
  </r>
  <r>
    <x v="8"/>
    <x v="1"/>
    <n v="1412.59"/>
    <n v="1516.45"/>
    <n v="1521.38"/>
    <n v="1371.02"/>
    <s v="185.45M"/>
    <n v="-5.1700000000000003E-2"/>
    <n v="-6.8488905008407874"/>
    <n v="150.36000000000013"/>
  </r>
  <r>
    <x v="9"/>
    <x v="1"/>
    <n v="1489.66"/>
    <n v="1659.65"/>
    <n v="1662.58"/>
    <n v="1473.25"/>
    <s v="136.19M"/>
    <n v="-0.1051"/>
    <n v="-10.242521013466694"/>
    <n v="189.32999999999993"/>
  </r>
  <r>
    <x v="10"/>
    <x v="1"/>
    <n v="1664.52"/>
    <n v="1650.25"/>
    <n v="1723.29"/>
    <n v="1626.33"/>
    <s v="101.67M"/>
    <n v="7.7999999999999996E-3"/>
    <n v="0.86471746705044583"/>
    <n v="96.960000000000036"/>
  </r>
  <r>
    <x v="11"/>
    <x v="1"/>
    <n v="1651.59"/>
    <n v="1530.38"/>
    <n v="1680.53"/>
    <n v="1478.27"/>
    <s v="166.98M"/>
    <n v="7.6499999999999999E-2"/>
    <n v="7.9202551000404995"/>
    <n v="202.26"/>
  </r>
  <r>
    <x v="12"/>
    <x v="1"/>
    <n v="1534.25"/>
    <n v="1451.72"/>
    <n v="1584.07"/>
    <n v="1425.12"/>
    <s v="130.08M"/>
    <n v="6.0299999999999999E-2"/>
    <n v="5.6849805747664819"/>
    <n v="158.95000000000005"/>
  </r>
  <r>
    <x v="13"/>
    <x v="1"/>
    <n v="1446.99"/>
    <n v="1365.35"/>
    <n v="1459.67"/>
    <n v="1344.07"/>
    <s v="85.76M"/>
    <n v="6.3399999999999998E-2"/>
    <n v="5.9794191965430183"/>
    <n v="115.60000000000014"/>
  </r>
  <r>
    <x v="14"/>
    <x v="1"/>
    <n v="1360.73"/>
    <n v="1428"/>
    <n v="1509.74"/>
    <n v="1345.52"/>
    <s v="115.66M"/>
    <n v="-4.6699999999999998E-2"/>
    <n v="-4.7107843137254894"/>
    <n v="164.22000000000003"/>
  </r>
  <r>
    <x v="15"/>
    <x v="1"/>
    <n v="1427.41"/>
    <n v="1422.93"/>
    <n v="1509.89"/>
    <n v="1408.06"/>
    <s v="101.54M"/>
    <n v="0"/>
    <n v="0.31484331625589579"/>
    <n v="101.83000000000015"/>
  </r>
  <r>
    <x v="16"/>
    <x v="1"/>
    <n v="1427.41"/>
    <n v="1354.37"/>
    <n v="1436.8"/>
    <n v="1340.89"/>
    <s v="107.16M"/>
    <n v="5.8799999999999998E-2"/>
    <n v="5.3929133102475841"/>
    <n v="95.909999999999854"/>
  </r>
  <r>
    <x v="17"/>
    <x v="1"/>
    <n v="1348.1"/>
    <n v="1322.55"/>
    <n v="1490.4"/>
    <n v="1297.69"/>
    <s v="212.49M"/>
    <n v="1.5100000000000001E-2"/>
    <n v="1.9318740312275495"/>
    <n v="192.71000000000004"/>
  </r>
  <r>
    <x v="18"/>
    <x v="1"/>
    <n v="1328.02"/>
    <n v="1315.14"/>
    <n v="1331.4"/>
    <n v="1255.18"/>
    <s v="125.30M"/>
    <n v="1.2999999999999999E-2"/>
    <n v="0.97936341378103331"/>
    <n v="76.220000000000027"/>
  </r>
  <r>
    <x v="19"/>
    <x v="1"/>
    <n v="1310.91"/>
    <n v="1247.52"/>
    <n v="1325.23"/>
    <n v="1232.1099999999999"/>
    <s v="153.76M"/>
    <n v="5.2299999999999999E-2"/>
    <n v="5.0812812620238637"/>
    <n v="93.120000000000118"/>
  </r>
  <r>
    <x v="20"/>
    <x v="1"/>
    <n v="1245.73"/>
    <n v="1426.96"/>
    <n v="1426.96"/>
    <n v="1178.6600000000001"/>
    <s v="181.90M"/>
    <n v="-0.1227"/>
    <n v="-12.700426080618939"/>
    <n v="248.29999999999995"/>
  </r>
  <r>
    <x v="21"/>
    <x v="1"/>
    <n v="1419.95"/>
    <n v="1484.04"/>
    <n v="1511.88"/>
    <n v="1356.9"/>
    <s v="142.67M"/>
    <n v="-4.0099999999999997E-2"/>
    <n v="-4.318616748874688"/>
    <n v="154.98000000000002"/>
  </r>
  <r>
    <x v="22"/>
    <x v="1"/>
    <n v="1479.21"/>
    <n v="1533.56"/>
    <n v="1610.67"/>
    <n v="1473"/>
    <s v="99.35M"/>
    <n v="-3.0099999999999998E-2"/>
    <n v="-3.5440413156315964"/>
    <n v="137.67000000000007"/>
  </r>
  <r>
    <x v="23"/>
    <x v="1"/>
    <n v="1525.16"/>
    <n v="1505.52"/>
    <n v="1560.01"/>
    <n v="1438.39"/>
    <s v="142.09M"/>
    <n v="1.6899999999999998E-2"/>
    <n v="1.3045326531696755"/>
    <n v="121.61999999999989"/>
  </r>
  <r>
    <x v="24"/>
    <x v="1"/>
    <n v="1499.75"/>
    <n v="1646.92"/>
    <n v="1663.23"/>
    <n v="1474.14"/>
    <s v="127.68M"/>
    <n v="-7.7499999999999999E-2"/>
    <n v="-8.936074612003015"/>
    <n v="189.08999999999992"/>
  </r>
  <r>
    <x v="25"/>
    <x v="1"/>
    <n v="1625.79"/>
    <n v="1544.35"/>
    <n v="1644.23"/>
    <n v="1476.68"/>
    <s v="91.94M"/>
    <n v="6.3299999999999995E-2"/>
    <n v="5.2734160002590125"/>
    <n v="167.54999999999995"/>
  </r>
  <r>
    <x v="26"/>
    <x v="1"/>
    <n v="1529.03"/>
    <n v="1404.09"/>
    <n v="1537.73"/>
    <n v="1378.23"/>
    <s v="105.11M"/>
    <n v="8.7900000000000006E-2"/>
    <n v="8.8982899956555528"/>
    <n v="159.5"/>
  </r>
  <r>
    <x v="27"/>
    <x v="1"/>
    <n v="1405.53"/>
    <n v="1451.87"/>
    <n v="1544.3"/>
    <n v="1347.41"/>
    <s v="171.48M"/>
    <n v="-5.33E-2"/>
    <n v="-3.1917458174629902"/>
    <n v="196.88999999999987"/>
  </r>
  <r>
    <x v="28"/>
    <x v="1"/>
    <n v="1484.58"/>
    <n v="1555.23"/>
    <n v="1622.21"/>
    <n v="1441.87"/>
    <s v="92.40M"/>
    <n v="-3.6600000000000001E-2"/>
    <n v="-4.5427364441272413"/>
    <n v="180.34000000000015"/>
  </r>
  <r>
    <x v="29"/>
    <x v="1"/>
    <n v="1541.02"/>
    <n v="1445.85"/>
    <n v="1546.98"/>
    <n v="1402.74"/>
    <s v="115.13M"/>
    <n v="6.0100000000000001E-2"/>
    <n v="6.5822872358820135"/>
    <n v="144.24"/>
  </r>
  <r>
    <x v="30"/>
    <x v="1"/>
    <n v="1453.71"/>
    <n v="1504.52"/>
    <n v="1546.29"/>
    <n v="1359.49"/>
    <s v="139.14M"/>
    <n v="-2.7699999999999999E-2"/>
    <n v="-3.3771568340733222"/>
    <n v="186.79999999999995"/>
  </r>
  <r>
    <x v="31"/>
    <x v="1"/>
    <n v="1495.17"/>
    <n v="1542.21"/>
    <n v="1580.49"/>
    <n v="1391.41"/>
    <s v="176.04M"/>
    <n v="-4.0800000000000003E-2"/>
    <n v="-3.0501682650222706"/>
    <n v="189.07999999999993"/>
  </r>
  <r>
    <x v="32"/>
    <x v="1"/>
    <n v="1558.77"/>
    <n v="1876.28"/>
    <n v="1899.59"/>
    <n v="1541.31"/>
    <s v="170.70M"/>
    <n v="-0.1779"/>
    <n v="-16.922314366725651"/>
    <n v="358.28"/>
  </r>
  <r>
    <x v="33"/>
    <x v="1"/>
    <n v="1896.16"/>
    <n v="1700.42"/>
    <n v="1912.52"/>
    <n v="1671.58"/>
    <s v="154.42M"/>
    <n v="0.1115"/>
    <n v="11.511273685324802"/>
    <n v="240.94000000000005"/>
  </r>
  <r>
    <x v="34"/>
    <x v="1"/>
    <n v="1705.99"/>
    <n v="1756.2"/>
    <n v="1782.75"/>
    <n v="1655.67"/>
    <s v="128.93M"/>
    <n v="-1.1900000000000001E-2"/>
    <n v="-2.8590137797517388"/>
    <n v="127.07999999999993"/>
  </r>
  <r>
    <x v="35"/>
    <x v="1"/>
    <n v="1726.47"/>
    <n v="1877.17"/>
    <n v="1942.95"/>
    <n v="1655.67"/>
    <s v="141.62M"/>
    <n v="-8.0299999999999996E-2"/>
    <n v="-8.0280422124794271"/>
    <n v="287.27999999999997"/>
  </r>
  <r>
    <x v="36"/>
    <x v="1"/>
    <n v="1877.17"/>
    <n v="1705.39"/>
    <n v="1899.1"/>
    <n v="1682.02"/>
    <s v="109.47M"/>
    <n v="0.1022"/>
    <n v="10.072769278581436"/>
    <n v="217.07999999999993"/>
  </r>
  <r>
    <x v="37"/>
    <x v="1"/>
    <n v="1703.05"/>
    <n v="1668.1"/>
    <n v="1798.81"/>
    <n v="1659.8"/>
    <s v="104.53M"/>
    <n v="2.69E-2"/>
    <n v="2.0951981296085394"/>
    <n v="139.01"/>
  </r>
  <r>
    <x v="38"/>
    <x v="1"/>
    <n v="1658.4"/>
    <n v="1655.77"/>
    <n v="1837.64"/>
    <n v="1651.74"/>
    <s v="144.44M"/>
    <n v="-4.4000000000000003E-3"/>
    <n v="0.15883848602161588"/>
    <n v="185.90000000000009"/>
  </r>
  <r>
    <x v="39"/>
    <x v="1"/>
    <n v="1665.81"/>
    <n v="1699.92"/>
    <n v="1777.98"/>
    <n v="1645.72"/>
    <s v="113.96M"/>
    <n v="-1.83E-2"/>
    <n v="-2.0065650148242344"/>
    <n v="132.26"/>
  </r>
  <r>
    <x v="40"/>
    <x v="1"/>
    <n v="1696.89"/>
    <n v="1618.33"/>
    <n v="1747.15"/>
    <n v="1610.13"/>
    <s v="132.75M"/>
    <n v="5.96E-2"/>
    <n v="4.8543869297362203"/>
    <n v="137.01999999999998"/>
  </r>
  <r>
    <x v="41"/>
    <x v="1"/>
    <n v="1601.47"/>
    <n v="1568.01"/>
    <n v="1614.3"/>
    <n v="1525.16"/>
    <s v="109.51M"/>
    <n v="1.8800000000000001E-2"/>
    <n v="2.1339149622770286"/>
    <n v="89.139999999999873"/>
  </r>
  <r>
    <x v="42"/>
    <x v="1"/>
    <n v="1571.94"/>
    <n v="1392.15"/>
    <n v="1582.08"/>
    <n v="1357.35"/>
    <s v="147.30M"/>
    <n v="0.13420000000000001"/>
    <n v="12.914556621053762"/>
    <n v="224.73000000000002"/>
  </r>
  <r>
    <x v="43"/>
    <x v="1"/>
    <n v="1385.94"/>
    <n v="1333.29"/>
    <n v="1408.31"/>
    <n v="1303.95"/>
    <s v="110.64M"/>
    <n v="2.9100000000000001E-2"/>
    <n v="3.9488783385460096"/>
    <n v="104.3599999999999"/>
  </r>
  <r>
    <x v="44"/>
    <x v="1"/>
    <n v="1346.76"/>
    <n v="1372.27"/>
    <n v="1469.27"/>
    <n v="1312.6"/>
    <s v="174.38M"/>
    <n v="-0.01"/>
    <n v="-1.8589636150320266"/>
    <n v="156.67000000000007"/>
  </r>
  <r>
    <x v="45"/>
    <x v="1"/>
    <n v="1360.38"/>
    <n v="1256.22"/>
    <n v="1398.12"/>
    <n v="1251.94"/>
    <s v="170.80M"/>
    <n v="9.1600000000000001E-2"/>
    <n v="8.2915412905382873"/>
    <n v="146.17999999999984"/>
  </r>
  <r>
    <x v="46"/>
    <x v="1"/>
    <n v="1246.28"/>
    <n v="1243.54"/>
    <n v="1324.54"/>
    <n v="1234.05"/>
    <s v="135.88M"/>
    <n v="1.15E-2"/>
    <n v="0.22033871045563547"/>
    <n v="90.490000000000009"/>
  </r>
  <r>
    <x v="47"/>
    <x v="1"/>
    <n v="1232.1099999999999"/>
    <n v="1250.8499999999999"/>
    <n v="1384.99"/>
    <n v="1224.0999999999999"/>
    <s v="206.72M"/>
    <n v="-1.3299999999999999E-2"/>
    <n v="-1.4981812367590048"/>
    <n v="160.8900000000001"/>
  </r>
  <r>
    <x v="48"/>
    <x v="1"/>
    <n v="1248.76"/>
    <n v="1098.8599999999999"/>
    <n v="1251.8"/>
    <n v="1098.8599999999999"/>
    <s v="205.79M"/>
    <n v="0.1416"/>
    <n v="13.641410188741068"/>
    <n v="152.94000000000005"/>
  </r>
  <r>
    <x v="49"/>
    <x v="1"/>
    <n v="1093.8399999999999"/>
    <n v="1059.03"/>
    <n v="1148.43"/>
    <n v="1045.21"/>
    <s v="208.54M"/>
    <n v="3.7100000000000001E-2"/>
    <n v="3.2869701519314796"/>
    <n v="103.22000000000003"/>
  </r>
  <r>
    <x v="50"/>
    <x v="1"/>
    <n v="1054.6600000000001"/>
    <n v="1014.88"/>
    <n v="1179.3499999999999"/>
    <n v="1006.08"/>
    <s v="285.00M"/>
    <n v="5.1900000000000002E-2"/>
    <n v="3.9196752325398161"/>
    <n v="173.26999999999987"/>
  </r>
  <r>
    <x v="51"/>
    <x v="1"/>
    <n v="1002.6"/>
    <n v="921.06"/>
    <n v="1031.19"/>
    <n v="906.99"/>
    <s v="232.40M"/>
    <n v="8.5800000000000001E-2"/>
    <n v="8.8528434629665913"/>
    <n v="124.20000000000005"/>
  </r>
  <r>
    <x v="52"/>
    <x v="1"/>
    <n v="923.4"/>
    <n v="954.62"/>
    <n v="968.94"/>
    <n v="909.47"/>
    <s v="155.09M"/>
    <n v="-3.8699999999999998E-2"/>
    <n v="-3.270411263120407"/>
    <n v="59.470000000000027"/>
  </r>
  <r>
    <x v="53"/>
    <x v="1"/>
    <n v="960.59"/>
    <n v="733.12"/>
    <n v="980.92"/>
    <n v="725.66"/>
    <s v="397.11M"/>
    <n v="0.31259999999999999"/>
    <n v="31.027662592754258"/>
    <n v="255.26"/>
  </r>
  <r>
    <x v="54"/>
    <x v="1"/>
    <n v="731.83"/>
    <n v="694.83"/>
    <n v="747.39"/>
    <n v="671.71"/>
    <s v="240.82M"/>
    <n v="6.5100000000000005E-2"/>
    <n v="5.3250435358289074"/>
    <n v="75.67999999999995"/>
  </r>
  <r>
    <x v="55"/>
    <x v="1"/>
    <n v="687.13"/>
    <n v="685.93"/>
    <n v="706.02"/>
    <n v="643.08000000000004"/>
    <s v="180.61M"/>
    <n v="-3.4200000000000001E-2"/>
    <n v="0.1749449652296948"/>
    <n v="62.939999999999941"/>
  </r>
  <r>
    <x v="0"/>
    <x v="2"/>
    <n v="1215.45"/>
    <n v="1288"/>
    <n v="1329.95"/>
    <n v="1201.5"/>
    <s v="288.56M"/>
    <n v="-5.9400000000000001E-2"/>
    <n v="-5.6327639751552754"/>
    <n v="128.45000000000005"/>
  </r>
  <r>
    <x v="1"/>
    <x v="2"/>
    <n v="1292.2"/>
    <n v="1333.05"/>
    <n v="1341.95"/>
    <n v="1217.25"/>
    <s v="279.90M"/>
    <n v="-2.9899999999999999E-2"/>
    <n v="-3.0644011852518593"/>
    <n v="124.70000000000005"/>
  </r>
  <r>
    <x v="2"/>
    <x v="2"/>
    <n v="1332.05"/>
    <n v="1480.65"/>
    <n v="1487.95"/>
    <n v="1320.3"/>
    <s v="400.77M"/>
    <n v="-9.7900000000000001E-2"/>
    <n v="-10.036132779522514"/>
    <n v="167.65000000000009"/>
  </r>
  <r>
    <x v="3"/>
    <x v="2"/>
    <n v="1476.57"/>
    <n v="1510.88"/>
    <n v="1533.47"/>
    <n v="1445.88"/>
    <s v="297.71M"/>
    <n v="-2.1899999999999999E-2"/>
    <n v="-2.270862014190417"/>
    <n v="87.589999999999918"/>
  </r>
  <r>
    <x v="4"/>
    <x v="2"/>
    <n v="1509.63"/>
    <n v="1512"/>
    <n v="1539.72"/>
    <n v="1433.25"/>
    <s v="259.57M"/>
    <n v="2.8E-3"/>
    <n v="-0.15674603174602453"/>
    <n v="106.47000000000003"/>
  </r>
  <r>
    <x v="5"/>
    <x v="2"/>
    <n v="1505.43"/>
    <n v="1562.53"/>
    <n v="1608.8"/>
    <n v="1463"/>
    <s v="230.09M"/>
    <n v="-3.8300000000000001E-2"/>
    <n v="-3.6543298368671264"/>
    <n v="145.79999999999995"/>
  </r>
  <r>
    <x v="6"/>
    <x v="2"/>
    <n v="1565.4"/>
    <n v="1483"/>
    <n v="1581"/>
    <n v="1359.3"/>
    <s v="319.05M"/>
    <n v="9.4399999999999998E-2"/>
    <n v="5.5563047875927234"/>
    <n v="221.70000000000005"/>
  </r>
  <r>
    <x v="7"/>
    <x v="2"/>
    <n v="1430.4"/>
    <n v="1472"/>
    <n v="1492.22"/>
    <n v="1384"/>
    <s v="240.62M"/>
    <n v="-2.4899999999999999E-2"/>
    <n v="-2.826086956521733"/>
    <n v="108.22000000000003"/>
  </r>
  <r>
    <x v="8"/>
    <x v="2"/>
    <n v="1467"/>
    <n v="1492.47"/>
    <n v="1494"/>
    <n v="1441.5"/>
    <s v="219.50M"/>
    <n v="-1.2699999999999999E-2"/>
    <n v="-1.7065669661701761"/>
    <n v="52.5"/>
  </r>
  <r>
    <x v="9"/>
    <x v="2"/>
    <n v="1485.85"/>
    <n v="1463.5"/>
    <n v="1512.45"/>
    <n v="1412.9"/>
    <s v="226.19M"/>
    <n v="1.7100000000000001E-2"/>
    <n v="1.5271609156132495"/>
    <n v="99.549999999999955"/>
  </r>
  <r>
    <x v="10"/>
    <x v="2"/>
    <n v="1460.8"/>
    <n v="1435"/>
    <n v="1499.95"/>
    <n v="1418.05"/>
    <s v="238.81M"/>
    <n v="2.4E-2"/>
    <n v="1.797909407665502"/>
    <n v="81.900000000000091"/>
  </r>
  <r>
    <x v="11"/>
    <x v="2"/>
    <n v="1426.63"/>
    <n v="1290.28"/>
    <n v="1459.97"/>
    <n v="1284.47"/>
    <s v="265.96M"/>
    <n v="0.1038"/>
    <n v="10.56747372663299"/>
    <n v="175.5"/>
  </r>
  <r>
    <x v="12"/>
    <x v="2"/>
    <n v="1292.47"/>
    <n v="1189"/>
    <n v="1307"/>
    <n v="1188.8"/>
    <s v="255.46M"/>
    <n v="8.7300000000000003E-2"/>
    <n v="8.7022708158116089"/>
    <n v="118.20000000000005"/>
  </r>
  <r>
    <x v="13"/>
    <x v="2"/>
    <n v="1188.72"/>
    <n v="1144.57"/>
    <n v="1205.97"/>
    <n v="1137.5999999999999"/>
    <s v="207.13M"/>
    <n v="3.9100000000000003E-2"/>
    <n v="3.8573438059708094"/>
    <n v="68.370000000000118"/>
  </r>
  <r>
    <x v="14"/>
    <x v="2"/>
    <n v="1143.95"/>
    <n v="1164.97"/>
    <n v="1183.5"/>
    <n v="1110.1500000000001"/>
    <s v="205.67M"/>
    <n v="-2.4299999999999999E-2"/>
    <n v="-1.8043383091410063"/>
    <n v="73.349999999999909"/>
  </r>
  <r>
    <x v="15"/>
    <x v="2"/>
    <n v="1172.5"/>
    <n v="1203.28"/>
    <n v="1241.5"/>
    <n v="1162.5"/>
    <s v="317.03M"/>
    <n v="-2.58E-2"/>
    <n v="-2.5580081111628195"/>
    <n v="79"/>
  </r>
  <r>
    <x v="16"/>
    <x v="2"/>
    <n v="1203.5"/>
    <n v="1277.5"/>
    <n v="1291.4000000000001"/>
    <n v="1199.95"/>
    <s v="298.48M"/>
    <n v="-5.5800000000000002E-2"/>
    <n v="-5.7925636007827785"/>
    <n v="91.450000000000045"/>
  </r>
  <r>
    <x v="17"/>
    <x v="2"/>
    <n v="1274.6300000000001"/>
    <n v="1161.17"/>
    <n v="1315.47"/>
    <n v="1159.95"/>
    <s v="396.85M"/>
    <n v="0.1011"/>
    <n v="9.7711790693869141"/>
    <n v="155.51999999999998"/>
  </r>
  <r>
    <x v="18"/>
    <x v="2"/>
    <n v="1157.6300000000001"/>
    <n v="1125.81"/>
    <n v="1172.95"/>
    <n v="1112.58"/>
    <s v="206.50M"/>
    <n v="3.2500000000000001E-2"/>
    <n v="2.8264094296551074"/>
    <n v="60.370000000000118"/>
  </r>
  <r>
    <x v="19"/>
    <x v="2"/>
    <n v="1121.1600000000001"/>
    <n v="1105.8599999999999"/>
    <n v="1151.94"/>
    <n v="1095.3499999999999"/>
    <s v="201.74M"/>
    <n v="2.0400000000000001E-2"/>
    <n v="1.3835386034398733"/>
    <n v="56.590000000000146"/>
  </r>
  <r>
    <x v="20"/>
    <x v="2"/>
    <n v="1098.74"/>
    <n v="1064.46"/>
    <n v="1100.76"/>
    <n v="1047.92"/>
    <s v="193.68M"/>
    <n v="3.8399999999999997E-2"/>
    <n v="3.2204122277962508"/>
    <n v="52.839999999999918"/>
  </r>
  <r>
    <x v="21"/>
    <x v="2"/>
    <n v="1058.1300000000001"/>
    <n v="1064.01"/>
    <n v="1100.5999999999999"/>
    <n v="989.57"/>
    <s v="321.23M"/>
    <n v="3.7000000000000002E-3"/>
    <n v="-0.55262638509035455"/>
    <n v="111.02999999999986"/>
  </r>
  <r>
    <x v="22"/>
    <x v="2"/>
    <n v="1054.27"/>
    <n v="1080.33"/>
    <n v="1118.3900000000001"/>
    <n v="1040.8599999999999"/>
    <s v="282.17M"/>
    <n v="-1.3299999999999999E-2"/>
    <n v="-2.41222589393981"/>
    <n v="77.5300000000002"/>
  </r>
  <r>
    <x v="23"/>
    <x v="2"/>
    <n v="1068.48"/>
    <n v="1157.52"/>
    <n v="1182.94"/>
    <n v="1044.49"/>
    <s v="263.64M"/>
    <n v="-7.5899999999999995E-2"/>
    <n v="-7.6923076923076898"/>
    <n v="138.45000000000005"/>
  </r>
  <r>
    <x v="24"/>
    <x v="2"/>
    <n v="1156.25"/>
    <n v="1244.58"/>
    <n v="1250.58"/>
    <n v="1131.31"/>
    <s v="182.61M"/>
    <n v="-6.7400000000000002E-2"/>
    <n v="-7.0971733436179214"/>
    <n v="119.26999999999998"/>
  </r>
  <r>
    <x v="25"/>
    <x v="2"/>
    <n v="1239.8399999999999"/>
    <n v="1180.22"/>
    <n v="1246.24"/>
    <n v="1135.73"/>
    <s v="208.83M"/>
    <n v="7.1300000000000002E-2"/>
    <n v="5.0516005490501676"/>
    <n v="110.50999999999999"/>
  </r>
  <r>
    <x v="26"/>
    <x v="2"/>
    <n v="1157.3399999999999"/>
    <n v="1085.57"/>
    <n v="1162.49"/>
    <n v="1063.5999999999999"/>
    <s v="189.00M"/>
    <n v="7.2300000000000003E-2"/>
    <n v="6.6112733402728514"/>
    <n v="98.8900000000001"/>
  </r>
  <r>
    <x v="27"/>
    <x v="2"/>
    <n v="1079.33"/>
    <n v="1172.3399999999999"/>
    <n v="1193.7"/>
    <n v="1049.03"/>
    <s v="237.70M"/>
    <n v="-9.8599999999999993E-2"/>
    <n v="-7.9337052390944605"/>
    <n v="144.67000000000007"/>
  </r>
  <r>
    <x v="28"/>
    <x v="2"/>
    <n v="1197.44"/>
    <n v="1143.52"/>
    <n v="1215.1199999999999"/>
    <n v="1138.27"/>
    <s v="217.09M"/>
    <n v="5.1200000000000002E-2"/>
    <n v="4.7152651462152013"/>
    <n v="76.849999999999909"/>
  </r>
  <r>
    <x v="29"/>
    <x v="2"/>
    <n v="1139.1099999999999"/>
    <n v="1168.82"/>
    <n v="1176.58"/>
    <n v="1073.54"/>
    <s v="394.02M"/>
    <n v="-3.32E-2"/>
    <n v="-2.54187984462963"/>
    <n v="103.03999999999996"/>
  </r>
  <r>
    <x v="30"/>
    <x v="2"/>
    <n v="1178.24"/>
    <n v="1195.79"/>
    <n v="1278.8800000000001"/>
    <n v="1109.8599999999999"/>
    <s v="324.62M"/>
    <n v="-1.41E-2"/>
    <n v="-1.4676490019150481"/>
    <n v="169.02000000000021"/>
  </r>
  <r>
    <x v="31"/>
    <x v="2"/>
    <n v="1195.04"/>
    <n v="1253.75"/>
    <n v="1273.5"/>
    <n v="1075.81"/>
    <s v="372.66M"/>
    <n v="-5.6500000000000002E-2"/>
    <n v="-4.6827517447657057"/>
    <n v="197.69000000000005"/>
  </r>
  <r>
    <x v="32"/>
    <x v="2"/>
    <n v="1266.58"/>
    <n v="1196.56"/>
    <n v="1296.49"/>
    <n v="1144.72"/>
    <s v="272.42M"/>
    <n v="5.8999999999999997E-2"/>
    <n v="5.8517750885872823"/>
    <n v="151.76999999999998"/>
  </r>
  <r>
    <x v="33"/>
    <x v="2"/>
    <n v="1195.99"/>
    <n v="1059.68"/>
    <n v="1220.1600000000001"/>
    <n v="989.57"/>
    <s v="290.05M"/>
    <n v="0.1166"/>
    <n v="12.86331722784236"/>
    <n v="230.59000000000003"/>
  </r>
  <r>
    <x v="34"/>
    <x v="2"/>
    <n v="1071.07"/>
    <n v="1093.06"/>
    <n v="1115.03"/>
    <n v="1018.16"/>
    <s v="231.77M"/>
    <n v="-1.1299999999999999E-2"/>
    <n v="-2.0117834336632949"/>
    <n v="96.87"/>
  </r>
  <r>
    <x v="35"/>
    <x v="2"/>
    <n v="1083.3499999999999"/>
    <n v="1073.54"/>
    <n v="1165.3699999999999"/>
    <n v="1046.31"/>
    <s v="253.42M"/>
    <n v="7.7999999999999996E-3"/>
    <n v="0.91379920636398704"/>
    <n v="119.05999999999995"/>
  </r>
  <r>
    <x v="36"/>
    <x v="2"/>
    <n v="1074.97"/>
    <n v="1104.4100000000001"/>
    <n v="1134.1400000000001"/>
    <n v="1020.03"/>
    <s v="264.36M"/>
    <n v="-1.55E-2"/>
    <n v="-2.6656766961545126"/>
    <n v="114.11000000000013"/>
  </r>
  <r>
    <x v="37"/>
    <x v="2"/>
    <n v="1091.8800000000001"/>
    <n v="1151.28"/>
    <n v="1181.21"/>
    <n v="1048.1199999999999"/>
    <s v="296.50M"/>
    <n v="-5.16E-2"/>
    <n v="-5.1594746716697815"/>
    <n v="133.09000000000015"/>
  </r>
  <r>
    <x v="38"/>
    <x v="2"/>
    <n v="1151.28"/>
    <n v="1135.71"/>
    <n v="1248.92"/>
    <n v="1132.55"/>
    <s v="215.77M"/>
    <n v="6.7000000000000002E-3"/>
    <n v="1.3709485696172383"/>
    <n v="116.37000000000012"/>
  </r>
  <r>
    <x v="39"/>
    <x v="2"/>
    <n v="1143.56"/>
    <n v="1031.78"/>
    <n v="1166.5999999999999"/>
    <n v="1023.61"/>
    <s v="303.66M"/>
    <n v="0.11559999999999999"/>
    <n v="10.833704859563083"/>
    <n v="142.9899999999999"/>
  </r>
  <r>
    <x v="40"/>
    <x v="2"/>
    <n v="1025.04"/>
    <n v="932.51"/>
    <n v="1036.6600000000001"/>
    <n v="926.54"/>
    <s v="260.36M"/>
    <n v="0.1095"/>
    <n v="9.9226817942971106"/>
    <n v="110.12000000000012"/>
  </r>
  <r>
    <x v="41"/>
    <x v="2"/>
    <n v="923.88"/>
    <n v="961.42"/>
    <n v="977.56"/>
    <n v="915.23"/>
    <s v="198.83M"/>
    <n v="-3.5700000000000003E-2"/>
    <n v="-3.9046410517775758"/>
    <n v="62.329999999999927"/>
  </r>
  <r>
    <x v="42"/>
    <x v="2"/>
    <n v="958.09"/>
    <n v="983.21"/>
    <n v="1032.6400000000001"/>
    <n v="944.63"/>
    <s v="464.78M"/>
    <n v="-2.3E-2"/>
    <n v="-2.5548967158592775"/>
    <n v="88.010000000000105"/>
  </r>
  <r>
    <x v="43"/>
    <x v="2"/>
    <n v="980.62"/>
    <n v="892.42"/>
    <n v="994.88"/>
    <n v="865.19"/>
    <s v="345.55M"/>
    <n v="8.3099999999999993E-2"/>
    <n v="9.8832388337330013"/>
    <n v="129.68999999999994"/>
  </r>
  <r>
    <x v="44"/>
    <x v="2"/>
    <n v="905.36"/>
    <n v="916.03"/>
    <n v="929.15"/>
    <n v="851.89"/>
    <s v="301.99M"/>
    <n v="-4.3E-3"/>
    <n v="-1.1648090128052531"/>
    <n v="77.259999999999991"/>
  </r>
  <r>
    <x v="45"/>
    <x v="2"/>
    <n v="909.27"/>
    <n v="957.88"/>
    <n v="1013.13"/>
    <n v="895.92"/>
    <s v="388.27M"/>
    <n v="-3.9600000000000003E-2"/>
    <n v="-5.0747484027226806"/>
    <n v="117.21000000000004"/>
  </r>
  <r>
    <x v="46"/>
    <x v="2"/>
    <n v="946.81"/>
    <n v="844.04"/>
    <n v="976.86"/>
    <n v="838.86"/>
    <s v="482.25M"/>
    <n v="0.13239999999999999"/>
    <n v="12.17596322449173"/>
    <n v="138"/>
  </r>
  <r>
    <x v="47"/>
    <x v="2"/>
    <n v="836.11"/>
    <n v="902.41"/>
    <n v="962.33"/>
    <n v="830.69"/>
    <s v="600.10M"/>
    <n v="-7.22E-2"/>
    <n v="-7.3469930519386928"/>
    <n v="131.63999999999999"/>
  </r>
  <r>
    <x v="48"/>
    <x v="2"/>
    <n v="901.19"/>
    <n v="880.78"/>
    <n v="925.11"/>
    <n v="842.15"/>
    <s v="465.54M"/>
    <n v="2.8799999999999999E-2"/>
    <n v="2.3172642430572994"/>
    <n v="82.960000000000036"/>
  </r>
  <r>
    <x v="49"/>
    <x v="2"/>
    <n v="875.99"/>
    <n v="920.11"/>
    <n v="950.98"/>
    <n v="833.01"/>
    <s v="864.45M"/>
    <n v="-6.0699999999999997E-2"/>
    <n v="-4.7950788492680223"/>
    <n v="117.97000000000003"/>
  </r>
  <r>
    <x v="50"/>
    <x v="2"/>
    <n v="932.6"/>
    <n v="1027.6099999999999"/>
    <n v="1048.1199999999999"/>
    <n v="903.77"/>
    <s v="519.66M"/>
    <n v="-8.0500000000000002E-2"/>
    <n v="-9.2457255184359717"/>
    <n v="144.34999999999991"/>
  </r>
  <r>
    <x v="51"/>
    <x v="2"/>
    <n v="1014.24"/>
    <n v="953.25"/>
    <n v="1075.52"/>
    <n v="927.95"/>
    <s v="757.54M"/>
    <n v="7.3800000000000004E-2"/>
    <n v="6.3981117230527156"/>
    <n v="147.56999999999994"/>
  </r>
  <r>
    <x v="52"/>
    <x v="2"/>
    <n v="944.49"/>
    <n v="931.15"/>
    <n v="996.83"/>
    <n v="907.97"/>
    <s v="766.53M"/>
    <n v="6.6E-3"/>
    <n v="1.4326370616979038"/>
    <n v="88.860000000000014"/>
  </r>
  <r>
    <x v="53"/>
    <x v="2"/>
    <n v="938.32"/>
    <n v="780.76"/>
    <n v="998.1"/>
    <n v="775.33"/>
    <s v="1.23B"/>
    <n v="0.21299999999999999"/>
    <n v="20.18033710743379"/>
    <n v="222.76999999999998"/>
  </r>
  <r>
    <x v="54"/>
    <x v="2"/>
    <n v="773.54"/>
    <n v="671.82"/>
    <n v="818.98"/>
    <n v="669.98"/>
    <s v="795.37M"/>
    <n v="0.16370000000000001"/>
    <n v="15.140960376291254"/>
    <n v="149"/>
  </r>
  <r>
    <x v="55"/>
    <x v="2"/>
    <n v="664.73"/>
    <n v="647.52"/>
    <n v="726.21"/>
    <n v="632.32000000000005"/>
    <s v="927.84M"/>
    <n v="8.3999999999999995E-3"/>
    <n v="2.657832962688417"/>
    <n v="93.889999999999986"/>
  </r>
  <r>
    <x v="0"/>
    <x v="3"/>
    <n v="4030.55"/>
    <n v="4203"/>
    <n v="4424.37"/>
    <n v="3968.78"/>
    <s v="44.35M"/>
    <n v="-4.1200000000000001E-2"/>
    <n v="-4.1030216512015185"/>
    <n v="455.58999999999969"/>
  </r>
  <r>
    <x v="1"/>
    <x v="3"/>
    <n v="4203.84"/>
    <n v="3927.25"/>
    <n v="4308.71"/>
    <n v="3851.85"/>
    <s v="41.29M"/>
    <n v="7.6200000000000004E-2"/>
    <n v="7.0428416831115959"/>
    <n v="456.86000000000013"/>
  </r>
  <r>
    <x v="2"/>
    <x v="3"/>
    <n v="3906.18"/>
    <n v="4188.78"/>
    <n v="4230.5600000000004"/>
    <n v="3897.86"/>
    <s v="51.09M"/>
    <n v="-8.4900000000000003E-2"/>
    <n v="-6.7465944738086012"/>
    <n v="332.70000000000027"/>
  </r>
  <r>
    <x v="3"/>
    <x v="3"/>
    <n v="4268.5"/>
    <n v="4576"/>
    <n v="4588"/>
    <n v="4227.5"/>
    <s v="46.73M"/>
    <n v="-6.2600000000000003E-2"/>
    <n v="-6.7198426573426575"/>
    <n v="360.5"/>
  </r>
  <r>
    <x v="4"/>
    <x v="3"/>
    <n v="4553.75"/>
    <n v="4399.3999999999996"/>
    <n v="4592.25"/>
    <n v="4110.5"/>
    <s v="44.30M"/>
    <n v="3.8399999999999997E-2"/>
    <n v="3.508432968132027"/>
    <n v="481.75"/>
  </r>
  <r>
    <x v="5"/>
    <x v="3"/>
    <n v="4385.3500000000004"/>
    <n v="3884"/>
    <n v="4431"/>
    <n v="3884"/>
    <s v="69.79M"/>
    <n v="0.12330000000000001"/>
    <n v="12.908084449021636"/>
    <n v="547"/>
  </r>
  <r>
    <x v="6"/>
    <x v="3"/>
    <n v="3904.15"/>
    <n v="3732.8"/>
    <n v="3960"/>
    <n v="3591.5"/>
    <s v="49.07M"/>
    <n v="6.3500000000000001E-2"/>
    <n v="4.5903879125589349"/>
    <n v="368.5"/>
  </r>
  <r>
    <x v="7"/>
    <x v="3"/>
    <n v="3670.95"/>
    <n v="3778.05"/>
    <n v="3988"/>
    <n v="3653.75"/>
    <s v="48.49M"/>
    <n v="-3.9199999999999999E-2"/>
    <n v="-2.8347957279549068"/>
    <n v="334.25"/>
  </r>
  <r>
    <x v="8"/>
    <x v="3"/>
    <n v="3820.65"/>
    <n v="3897.7"/>
    <n v="4064.2"/>
    <n v="3800.9"/>
    <s v="50.10M"/>
    <n v="-1.44E-2"/>
    <n v="-1.9768068348000034"/>
    <n v="263.29999999999973"/>
  </r>
  <r>
    <x v="9"/>
    <x v="3"/>
    <n v="3876.3"/>
    <n v="4107.2"/>
    <n v="4254.75"/>
    <n v="3829.4"/>
    <s v="57.51M"/>
    <n v="-5.3400000000000003E-2"/>
    <n v="-5.6218348266458813"/>
    <n v="425.34999999999991"/>
  </r>
  <r>
    <x v="10"/>
    <x v="3"/>
    <n v="4095.1"/>
    <n v="3820"/>
    <n v="4184.75"/>
    <n v="3805.05"/>
    <s v="43.41M"/>
    <n v="7.3200000000000001E-2"/>
    <n v="7.2015706806282695"/>
    <n v="379.69999999999982"/>
  </r>
  <r>
    <x v="11"/>
    <x v="3"/>
    <n v="3815.95"/>
    <n v="3772.52"/>
    <n v="3963.55"/>
    <n v="3634.16"/>
    <s v="48.25M"/>
    <n v="1.06E-2"/>
    <n v="1.1512198742485087"/>
    <n v="329.39000000000033"/>
  </r>
  <r>
    <x v="12"/>
    <x v="3"/>
    <n v="3775.91"/>
    <n v="3483.86"/>
    <n v="3910.88"/>
    <n v="3473.95"/>
    <s v="45.57M"/>
    <n v="8.77E-2"/>
    <n v="8.3829430574133212"/>
    <n v="436.93000000000029"/>
  </r>
  <r>
    <x v="13"/>
    <x v="3"/>
    <n v="3471.51"/>
    <n v="3339.53"/>
    <n v="3527.66"/>
    <n v="3295.73"/>
    <s v="36.38M"/>
    <n v="3.5299999999999998E-2"/>
    <n v="3.9520531332253346"/>
    <n v="231.92999999999984"/>
  </r>
  <r>
    <x v="14"/>
    <x v="3"/>
    <n v="3353.21"/>
    <n v="3517.9"/>
    <n v="3662.03"/>
    <n v="3314.64"/>
    <s v="39.82M"/>
    <n v="-4.53E-2"/>
    <n v="-4.6814861138747563"/>
    <n v="347.39000000000033"/>
  </r>
  <r>
    <x v="15"/>
    <x v="3"/>
    <n v="3512.33"/>
    <n v="3350.48"/>
    <n v="3616.99"/>
    <n v="3341.32"/>
    <s v="38.44M"/>
    <n v="5.1200000000000002E-2"/>
    <n v="4.8306511305842719"/>
    <n v="275.66999999999962"/>
  </r>
  <r>
    <x v="16"/>
    <x v="3"/>
    <n v="3341.32"/>
    <n v="3399.25"/>
    <n v="3473.85"/>
    <n v="3328.23"/>
    <s v="35.92M"/>
    <n v="-1.89E-2"/>
    <n v="-1.7041994557622957"/>
    <n v="145.61999999999989"/>
  </r>
  <r>
    <x v="17"/>
    <x v="3"/>
    <n v="3405.67"/>
    <n v="3299.01"/>
    <n v="3533.53"/>
    <n v="3235.11"/>
    <s v="47.66M"/>
    <n v="3.61E-2"/>
    <n v="3.2330911394630464"/>
    <n v="298.42000000000007"/>
  </r>
  <r>
    <x v="18"/>
    <x v="3"/>
    <n v="3287.02"/>
    <n v="3298.72"/>
    <n v="3324.6"/>
    <n v="3141.45"/>
    <s v="38.36M"/>
    <n v="3.8999999999999998E-3"/>
    <n v="-0.35468302856865142"/>
    <n v="183.15000000000009"/>
  </r>
  <r>
    <x v="19"/>
    <x v="3"/>
    <n v="3274.33"/>
    <n v="3220.08"/>
    <n v="3356.45"/>
    <n v="3158.51"/>
    <s v="36.62M"/>
    <n v="2.18E-2"/>
    <n v="1.6847407517825645"/>
    <n v="197.9399999999996"/>
  </r>
  <r>
    <x v="20"/>
    <x v="3"/>
    <n v="3204.4"/>
    <n v="3210.08"/>
    <n v="3257.85"/>
    <n v="3056.09"/>
    <s v="43.82M"/>
    <n v="4.1999999999999997E-3"/>
    <n v="-0.17694263071324814"/>
    <n v="201.75999999999976"/>
  </r>
  <r>
    <x v="21"/>
    <x v="3"/>
    <n v="3191.11"/>
    <n v="3307.67"/>
    <n v="3389.25"/>
    <n v="3080.78"/>
    <s v="40.00M"/>
    <n v="-3.2300000000000002E-2"/>
    <n v="-3.5239307427887288"/>
    <n v="308.4699999999998"/>
  </r>
  <r>
    <x v="22"/>
    <x v="3"/>
    <n v="3297.57"/>
    <n v="3347.49"/>
    <n v="3558.51"/>
    <n v="3284.68"/>
    <s v="31.34M"/>
    <n v="-1.37E-2"/>
    <n v="-1.4912665907889082"/>
    <n v="273.83000000000038"/>
  </r>
  <r>
    <x v="23"/>
    <x v="3"/>
    <n v="3343.21"/>
    <n v="3181.51"/>
    <n v="3442.5"/>
    <n v="3122"/>
    <s v="39.92M"/>
    <n v="5.2200000000000003E-2"/>
    <n v="5.0824922756804103"/>
    <n v="320.5"/>
  </r>
  <r>
    <x v="24"/>
    <x v="3"/>
    <n v="3177.32"/>
    <n v="3341.52"/>
    <n v="3395.18"/>
    <n v="3086.54"/>
    <s v="32.37M"/>
    <n v="-3.95E-2"/>
    <n v="-4.9139313845196142"/>
    <n v="308.63999999999987"/>
  </r>
  <r>
    <x v="25"/>
    <x v="3"/>
    <n v="3308.15"/>
    <n v="3136.15"/>
    <n v="3345.42"/>
    <n v="3088.98"/>
    <s v="35.50M"/>
    <n v="6.1899999999999997E-2"/>
    <n v="5.4844315482358938"/>
    <n v="256.44000000000005"/>
  </r>
  <r>
    <x v="26"/>
    <x v="3"/>
    <n v="3115.32"/>
    <n v="2922"/>
    <n v="3121.03"/>
    <n v="2901.51"/>
    <s v="36.56M"/>
    <n v="6.2799999999999995E-2"/>
    <n v="6.6160164271047286"/>
    <n v="219.51999999999998"/>
  </r>
  <r>
    <x v="27"/>
    <x v="3"/>
    <n v="2931.32"/>
    <n v="3112.25"/>
    <n v="3190.1"/>
    <n v="2854.78"/>
    <s v="53.94M"/>
    <n v="-6.4299999999999996E-2"/>
    <n v="-5.8134789942967249"/>
    <n v="335.31999999999971"/>
  </r>
  <r>
    <x v="28"/>
    <x v="3"/>
    <n v="3132.88"/>
    <n v="3245.91"/>
    <n v="3345.13"/>
    <n v="3005.9"/>
    <s v="34.34M"/>
    <n v="-2.75E-2"/>
    <n v="-3.4822284043611726"/>
    <n v="339.23"/>
  </r>
  <r>
    <x v="29"/>
    <x v="3"/>
    <n v="3221.42"/>
    <n v="3180.54"/>
    <n v="3251.76"/>
    <n v="2881.02"/>
    <s v="59.85M"/>
    <n v="1.0699999999999999E-2"/>
    <n v="1.2853163299313988"/>
    <n v="370.74000000000024"/>
  </r>
  <r>
    <x v="30"/>
    <x v="3"/>
    <n v="3187.47"/>
    <n v="3305.42"/>
    <n v="3392.54"/>
    <n v="2950.15"/>
    <s v="50.69M"/>
    <n v="-2.8899999999999999E-2"/>
    <n v="-3.5683816277507932"/>
    <n v="442.38999999999987"/>
  </r>
  <r>
    <x v="31"/>
    <x v="3"/>
    <n v="3282.35"/>
    <n v="3434.1"/>
    <n v="3461.47"/>
    <n v="3077.17"/>
    <s v="51.12M"/>
    <n v="-5.1400000000000001E-2"/>
    <n v="-4.4189161643516499"/>
    <n v="384.29999999999973"/>
  </r>
  <r>
    <x v="32"/>
    <x v="3"/>
    <n v="3460.25"/>
    <n v="3656.65"/>
    <n v="3742.11"/>
    <n v="3355.32"/>
    <s v="43.30M"/>
    <n v="-5.1700000000000003E-2"/>
    <n v="-5.3710363310680558"/>
    <n v="386.78999999999996"/>
  </r>
  <r>
    <x v="33"/>
    <x v="3"/>
    <n v="3648.79"/>
    <n v="3465.91"/>
    <n v="3687.38"/>
    <n v="3347.91"/>
    <s v="50.56M"/>
    <n v="5.2299999999999999E-2"/>
    <n v="5.2765363209085088"/>
    <n v="339.47000000000025"/>
  </r>
  <r>
    <x v="34"/>
    <x v="3"/>
    <n v="3467.57"/>
    <n v="3678.11"/>
    <n v="3787.87"/>
    <n v="3308.44"/>
    <s v="66.97M"/>
    <n v="-4.87E-2"/>
    <n v="-5.7241354935007376"/>
    <n v="479.42999999999984"/>
  </r>
  <r>
    <x v="35"/>
    <x v="3"/>
    <n v="3645.18"/>
    <n v="3658.6"/>
    <n v="3944.45"/>
    <n v="3536.74"/>
    <s v="66.33M"/>
    <n v="-5.9999999999999995E-4"/>
    <n v="-0.36680697534576268"/>
    <n v="407.71000000000004"/>
  </r>
  <r>
    <x v="36"/>
    <x v="3"/>
    <n v="3647.23"/>
    <n v="3448.84"/>
    <n v="3668.35"/>
    <n v="3424.59"/>
    <s v="44.72M"/>
    <n v="5.9299999999999999E-2"/>
    <n v="5.7523689124459194"/>
    <n v="243.75999999999976"/>
  </r>
  <r>
    <x v="37"/>
    <x v="3"/>
    <n v="3443.13"/>
    <n v="3354.15"/>
    <n v="3488.4"/>
    <n v="3323.42"/>
    <s v="43.27M"/>
    <n v="3.8699999999999998E-2"/>
    <n v="2.6528330575555659"/>
    <n v="164.98000000000002"/>
  </r>
  <r>
    <x v="38"/>
    <x v="3"/>
    <n v="3314.93"/>
    <n v="3689.57"/>
    <n v="3892.65"/>
    <n v="3303.42"/>
    <s v="71.25M"/>
    <n v="-0.10009999999999999"/>
    <n v="-10.154028789262712"/>
    <n v="589.23"/>
  </r>
  <r>
    <x v="39"/>
    <x v="3"/>
    <n v="3683.52"/>
    <n v="3703.48"/>
    <n v="3884.7"/>
    <n v="3616.64"/>
    <s v="50.57M"/>
    <n v="-2.8999999999999998E-3"/>
    <n v="-0.53895255273418607"/>
    <n v="268.05999999999995"/>
  </r>
  <r>
    <x v="40"/>
    <x v="3"/>
    <n v="3694.16"/>
    <n v="3102.49"/>
    <n v="3711.38"/>
    <n v="3089.81"/>
    <s v="56.68M"/>
    <n v="0.19539999999999999"/>
    <n v="19.070810864821485"/>
    <n v="621.57000000000016"/>
  </r>
  <r>
    <x v="41"/>
    <x v="3"/>
    <n v="3090.25"/>
    <n v="3276.15"/>
    <n v="3291.76"/>
    <n v="3056.05"/>
    <s v="44.35M"/>
    <n v="-5.33E-2"/>
    <n v="-5.674343360346751"/>
    <n v="235.71000000000004"/>
  </r>
  <r>
    <x v="42"/>
    <x v="3"/>
    <n v="3264.2"/>
    <n v="3091.37"/>
    <n v="3316.78"/>
    <n v="3039.07"/>
    <s v="45.08M"/>
    <n v="5.91E-2"/>
    <n v="5.5907251477500246"/>
    <n v="277.71000000000004"/>
  </r>
  <r>
    <x v="43"/>
    <x v="3"/>
    <n v="3082.15"/>
    <n v="2951.17"/>
    <n v="3139.32"/>
    <n v="2930.78"/>
    <s v="43.54M"/>
    <n v="4.07E-2"/>
    <n v="4.4382397489809131"/>
    <n v="208.53999999999996"/>
  </r>
  <r>
    <x v="44"/>
    <x v="3"/>
    <n v="2961.66"/>
    <n v="3113.32"/>
    <n v="3272.59"/>
    <n v="2946.39"/>
    <s v="61.33M"/>
    <n v="-4.4699999999999997E-2"/>
    <n v="-4.8713270720645578"/>
    <n v="326.20000000000027"/>
  </r>
  <r>
    <x v="45"/>
    <x v="3"/>
    <n v="3100.39"/>
    <n v="2854.68"/>
    <n v="3126.88"/>
    <n v="2831.07"/>
    <s v="71.84M"/>
    <n v="9.8000000000000004E-2"/>
    <n v="8.6072694662799343"/>
    <n v="295.80999999999995"/>
  </r>
  <r>
    <x v="46"/>
    <x v="3"/>
    <n v="2823.75"/>
    <n v="3024.44"/>
    <n v="3166.69"/>
    <n v="2809.8"/>
    <s v="65.46M"/>
    <n v="-6.9800000000000001E-2"/>
    <n v="-6.6356085754718244"/>
    <n v="356.88999999999987"/>
  </r>
  <r>
    <x v="47"/>
    <x v="3"/>
    <n v="3035.51"/>
    <n v="2809.8"/>
    <n v="3258.39"/>
    <n v="2808.83"/>
    <s v="84.69M"/>
    <n v="8.6800000000000002E-2"/>
    <n v="8.0329560822834374"/>
    <n v="449.55999999999995"/>
  </r>
  <r>
    <x v="48"/>
    <x v="3"/>
    <n v="2792.97"/>
    <n v="2613.6999999999998"/>
    <n v="2880.05"/>
    <n v="2560.48"/>
    <s v="62.83M"/>
    <n v="6.83E-2"/>
    <n v="6.858859088648277"/>
    <n v="319.57000000000016"/>
  </r>
  <r>
    <x v="49"/>
    <x v="3"/>
    <n v="2614.33"/>
    <n v="2595.16"/>
    <n v="2677.12"/>
    <n v="2536.6799999999998"/>
    <s v="65.14M"/>
    <n v="5.5999999999999999E-3"/>
    <n v="0.73868277871114207"/>
    <n v="140.44000000000005"/>
  </r>
  <r>
    <x v="50"/>
    <x v="3"/>
    <n v="2599.9"/>
    <n v="2448.8200000000002"/>
    <n v="2814.68"/>
    <n v="2431.5500000000002"/>
    <s v="128.62M"/>
    <n v="6.9199999999999998E-2"/>
    <n v="6.1695020458833199"/>
    <n v="383.12999999999965"/>
  </r>
  <r>
    <x v="51"/>
    <x v="3"/>
    <n v="2431.5500000000002"/>
    <n v="2213.69"/>
    <n v="2492.7199999999998"/>
    <n v="2186.67"/>
    <s v="116.41M"/>
    <n v="0.1041"/>
    <n v="9.841486386982826"/>
    <n v="306.04999999999973"/>
  </r>
  <r>
    <x v="52"/>
    <x v="3"/>
    <n v="2202.23"/>
    <n v="2234.62"/>
    <n v="2271.2600000000002"/>
    <n v="2162.4299999999998"/>
    <s v="65.56M"/>
    <n v="-1.06E-2"/>
    <n v="-1.4494634434489924"/>
    <n v="108.83000000000038"/>
  </r>
  <r>
    <x v="53"/>
    <x v="3"/>
    <n v="2225.79"/>
    <n v="2029.01"/>
    <n v="2300.52"/>
    <n v="2028.81"/>
    <s v="106.38M"/>
    <n v="9.5699999999999993E-2"/>
    <n v="9.6983257844958857"/>
    <n v="271.71000000000004"/>
  </r>
  <r>
    <x v="54"/>
    <x v="3"/>
    <n v="2031.4"/>
    <n v="1941.49"/>
    <n v="2080.0300000000002"/>
    <n v="1932.81"/>
    <s v="73.99M"/>
    <n v="5.57E-2"/>
    <n v="4.6309792994040695"/>
    <n v="147.22000000000025"/>
  </r>
  <r>
    <x v="55"/>
    <x v="3"/>
    <n v="1924.28"/>
    <n v="1918.08"/>
    <n v="1982.47"/>
    <n v="1819.74"/>
    <s v="65.35M"/>
    <n v="-2.0899999999999998E-2"/>
    <n v="0.32323990657324231"/>
    <n v="162.73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DFDA3-85F5-4BD5-892E-50EC898A391A}" name="PivotTable13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2:B17" firstHeaderRow="1" firstDataRow="1" firstDataCol="1"/>
  <pivotFields count="12">
    <pivotField numFmtId="1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numFmtId="10" showAll="0"/>
    <pivotField dataField="1" showAll="0"/>
    <pivotField showAll="0"/>
    <pivotField showAll="0" defaultSubtotal="0"/>
    <pivotField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return%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47D50-0102-44AE-9AF3-959B561D84A1}" name="PivotTable14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12:E17" firstHeaderRow="1" firstDataRow="1" firstDataCol="1"/>
  <pivotFields count="12">
    <pivotField numFmtId="1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numFmtId="10" showAll="0"/>
    <pivotField showAll="0"/>
    <pivotField dataField="1" showAll="0"/>
    <pivotField showAll="0" defaultSubtotal="0"/>
    <pivotField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ice Range" fld="9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E35C3-1D4A-4DE1-88C0-70FF2DFB164F}" name="PivotTable7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8" firstHeaderRow="1" firstDataRow="1" firstDataCol="1"/>
  <pivotFields count="1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numFmtId="10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lose " fld="2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C78F7-703C-470F-AB12-1B7BBD2C0DC2}" name="PivotTable12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:I10" firstHeaderRow="1" firstDataRow="2" firstDataCol="1"/>
  <pivotFields count="12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numFmtId="10"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3">
    <field x="11"/>
    <field x="10"/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Close " fld="2" subtotal="average" baseField="1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A7959-789D-4FD3-B28F-F1C6CFEB89E3}" name="PivotTable16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0:B33" firstHeaderRow="1" firstDataRow="1" firstDataCol="1"/>
  <pivotFields count="12">
    <pivotField axis="axisRow" numFmtId="14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  <pivotField dataField="1"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2">
    <field x="0"/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Monthly return%" fld="8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C2C2D-FFEF-4F4B-93E0-17E80B3A7066}" name="Table1" displayName="Table1" ref="A1:J225" totalsRowShown="0" headerRowDxfId="11" dataDxfId="10">
  <autoFilter ref="A1:J225" xr:uid="{238C2C2D-FFEF-4F4B-93E0-17E80B3A7066}"/>
  <tableColumns count="10">
    <tableColumn id="1" xr3:uid="{ADC4FD6A-06A3-4C0E-BB1E-8D49FBF1CC4E}" name="Date" dataDxfId="9"/>
    <tableColumn id="2" xr3:uid="{29AB0AD1-172B-41E4-A282-2CC33C9D122F}" name="Company" dataDxfId="8"/>
    <tableColumn id="3" xr3:uid="{CFA97054-A30D-4A1B-B6EF-6D9AAB5EF78E}" name="Close " dataDxfId="7"/>
    <tableColumn id="4" xr3:uid="{00B0271F-C7C5-4BD9-939D-63F2C687792D}" name="Open" dataDxfId="6"/>
    <tableColumn id="5" xr3:uid="{6AE241DC-B002-418D-A8DD-987778A890EC}" name="High" dataDxfId="5"/>
    <tableColumn id="6" xr3:uid="{FF8E0389-EFC8-4C21-8156-D66E7E054828}" name="Low" dataDxfId="4"/>
    <tableColumn id="7" xr3:uid="{A94288C5-12DB-44BD-B1EF-14711DC2A4C7}" name="Vol." dataDxfId="3"/>
    <tableColumn id="8" xr3:uid="{CCD2DC18-AAE8-4CD9-A1ED-588A9BF3CF33}" name="Change%" dataDxfId="2"/>
    <tableColumn id="9" xr3:uid="{92F488BB-9A3A-450F-BD29-C8C8FE37B808}" name="Monthly return%" dataDxfId="1">
      <calculatedColumnFormula>((C2-D2)/D2)*100</calculatedColumnFormula>
    </tableColumn>
    <tableColumn id="10" xr3:uid="{58843450-D1FC-4104-B53B-736087F83A92}" name="Price Range" dataDxfId="0">
      <calculatedColumnFormula>(E2-F2)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C3E2-5F85-4293-B886-E8154E274D13}">
  <dimension ref="A2:I33"/>
  <sheetViews>
    <sheetView topLeftCell="A13" workbookViewId="0">
      <selection activeCell="H29" activeCellId="1" sqref="E20 H29"/>
    </sheetView>
  </sheetViews>
  <sheetFormatPr defaultRowHeight="14.5" x14ac:dyDescent="0.35"/>
  <cols>
    <col min="1" max="1" width="12.36328125" bestFit="1" customWidth="1"/>
    <col min="2" max="2" width="24.81640625" bestFit="1" customWidth="1"/>
    <col min="4" max="4" width="12.36328125" bestFit="1" customWidth="1"/>
    <col min="5" max="5" width="20" bestFit="1" customWidth="1"/>
    <col min="6" max="9" width="11.81640625" bestFit="1" customWidth="1"/>
  </cols>
  <sheetData>
    <row r="2" spans="1:9" x14ac:dyDescent="0.35">
      <c r="A2" t="s">
        <v>262</v>
      </c>
      <c r="F2" t="s">
        <v>261</v>
      </c>
    </row>
    <row r="3" spans="1:9" x14ac:dyDescent="0.35">
      <c r="A3" s="6" t="s">
        <v>237</v>
      </c>
      <c r="B3" t="s">
        <v>239</v>
      </c>
      <c r="D3" s="6" t="s">
        <v>239</v>
      </c>
      <c r="E3" s="6" t="s">
        <v>258</v>
      </c>
    </row>
    <row r="4" spans="1:9" x14ac:dyDescent="0.35">
      <c r="A4" s="7" t="s">
        <v>63</v>
      </c>
      <c r="B4" s="8">
        <v>743.97089285714287</v>
      </c>
      <c r="D4" s="6" t="s">
        <v>237</v>
      </c>
      <c r="E4" t="s">
        <v>63</v>
      </c>
      <c r="F4" t="s">
        <v>232</v>
      </c>
      <c r="G4" t="s">
        <v>233</v>
      </c>
      <c r="H4" t="s">
        <v>231</v>
      </c>
      <c r="I4" t="s">
        <v>238</v>
      </c>
    </row>
    <row r="5" spans="1:9" x14ac:dyDescent="0.35">
      <c r="A5" s="7" t="s">
        <v>232</v>
      </c>
      <c r="B5" s="8">
        <v>1467.8483928571427</v>
      </c>
      <c r="D5" s="7" t="s">
        <v>241</v>
      </c>
      <c r="E5" s="8">
        <v>580.14750000000004</v>
      </c>
      <c r="F5" s="8">
        <v>962.85125000000005</v>
      </c>
      <c r="G5" s="8">
        <v>880.63750000000005</v>
      </c>
      <c r="H5" s="8">
        <v>2352.8062500000001</v>
      </c>
      <c r="I5" s="8">
        <v>1194.110625</v>
      </c>
    </row>
    <row r="6" spans="1:9" x14ac:dyDescent="0.35">
      <c r="A6" s="7" t="s">
        <v>233</v>
      </c>
      <c r="B6" s="8">
        <v>1142.0203571428569</v>
      </c>
      <c r="D6" s="7" t="s">
        <v>250</v>
      </c>
      <c r="E6" s="8">
        <v>748.27083333333337</v>
      </c>
      <c r="F6" s="8">
        <v>1528.8500000000001</v>
      </c>
      <c r="G6" s="8">
        <v>995.57250000000022</v>
      </c>
      <c r="H6" s="8">
        <v>3261.7400000000002</v>
      </c>
      <c r="I6" s="8">
        <v>1633.6083333333329</v>
      </c>
    </row>
    <row r="7" spans="1:9" x14ac:dyDescent="0.35">
      <c r="A7" s="7" t="s">
        <v>231</v>
      </c>
      <c r="B7" s="8">
        <v>3330.8966071428581</v>
      </c>
      <c r="D7" s="7" t="s">
        <v>255</v>
      </c>
      <c r="E7" s="8">
        <v>730.63250000000005</v>
      </c>
      <c r="F7" s="8">
        <v>1576.8308333333334</v>
      </c>
      <c r="G7" s="8">
        <v>1163.2983333333334</v>
      </c>
      <c r="H7" s="8">
        <v>3298.1683333333335</v>
      </c>
      <c r="I7" s="8">
        <v>1692.2324999999998</v>
      </c>
    </row>
    <row r="8" spans="1:9" x14ac:dyDescent="0.35">
      <c r="A8" s="7" t="s">
        <v>238</v>
      </c>
      <c r="B8" s="8">
        <v>1671.1840625</v>
      </c>
      <c r="D8" s="7" t="s">
        <v>256</v>
      </c>
      <c r="E8" s="8">
        <v>802.42083333333323</v>
      </c>
      <c r="F8" s="8">
        <v>1404.4891666666665</v>
      </c>
      <c r="G8" s="8">
        <v>1152.8483333333334</v>
      </c>
      <c r="H8" s="8">
        <v>3371.4658333333336</v>
      </c>
      <c r="I8" s="8">
        <v>1682.8060416666667</v>
      </c>
    </row>
    <row r="9" spans="1:9" x14ac:dyDescent="0.35">
      <c r="D9" s="7" t="s">
        <v>257</v>
      </c>
      <c r="E9" s="8">
        <v>803.77499999999998</v>
      </c>
      <c r="F9" s="8">
        <v>1697.8883333333335</v>
      </c>
      <c r="G9" s="8">
        <v>1430.6175000000001</v>
      </c>
      <c r="H9" s="8">
        <v>4044.2724999999996</v>
      </c>
      <c r="I9" s="8">
        <v>1994.1383333333333</v>
      </c>
    </row>
    <row r="10" spans="1:9" x14ac:dyDescent="0.35">
      <c r="D10" s="7" t="s">
        <v>238</v>
      </c>
      <c r="E10" s="8">
        <v>743.97089285714276</v>
      </c>
      <c r="F10" s="8">
        <v>1467.8483928571427</v>
      </c>
      <c r="G10" s="8">
        <v>1142.0203571428572</v>
      </c>
      <c r="H10" s="8">
        <v>3330.8966071428572</v>
      </c>
      <c r="I10" s="8">
        <v>1671.1840625</v>
      </c>
    </row>
    <row r="11" spans="1:9" x14ac:dyDescent="0.35">
      <c r="A11" s="7" t="s">
        <v>263</v>
      </c>
      <c r="D11" s="7" t="s">
        <v>265</v>
      </c>
    </row>
    <row r="12" spans="1:9" x14ac:dyDescent="0.35">
      <c r="A12" s="6" t="s">
        <v>237</v>
      </c>
      <c r="B12" t="s">
        <v>240</v>
      </c>
      <c r="D12" s="6" t="s">
        <v>237</v>
      </c>
      <c r="E12" t="s">
        <v>259</v>
      </c>
    </row>
    <row r="13" spans="1:9" x14ac:dyDescent="0.35">
      <c r="A13" s="7" t="s">
        <v>63</v>
      </c>
      <c r="B13" s="8">
        <v>59.362110526878503</v>
      </c>
      <c r="D13" s="7" t="s">
        <v>63</v>
      </c>
      <c r="E13" s="8">
        <v>74.620178571428525</v>
      </c>
    </row>
    <row r="14" spans="1:9" x14ac:dyDescent="0.35">
      <c r="A14" s="7" t="s">
        <v>232</v>
      </c>
      <c r="B14" s="8">
        <v>106.83480766113398</v>
      </c>
      <c r="D14" s="7" t="s">
        <v>232</v>
      </c>
      <c r="E14" s="8">
        <v>163.35428571428571</v>
      </c>
    </row>
    <row r="15" spans="1:9" x14ac:dyDescent="0.35">
      <c r="A15" s="7" t="s">
        <v>233</v>
      </c>
      <c r="B15" s="8">
        <v>59.723767787653003</v>
      </c>
      <c r="D15" s="7" t="s">
        <v>233</v>
      </c>
      <c r="E15" s="8">
        <v>118.02053571428573</v>
      </c>
    </row>
    <row r="16" spans="1:9" x14ac:dyDescent="0.35">
      <c r="A16" s="7" t="s">
        <v>231</v>
      </c>
      <c r="B16" s="8">
        <v>71.719044350072835</v>
      </c>
      <c r="D16" s="7" t="s">
        <v>231</v>
      </c>
      <c r="E16" s="8">
        <v>323.28892857142847</v>
      </c>
    </row>
    <row r="17" spans="1:5" x14ac:dyDescent="0.35">
      <c r="A17" s="7" t="s">
        <v>238</v>
      </c>
      <c r="B17" s="8">
        <v>297.63973032573836</v>
      </c>
      <c r="D17" s="7" t="s">
        <v>238</v>
      </c>
      <c r="E17" s="8">
        <v>169.82098214285708</v>
      </c>
    </row>
    <row r="19" spans="1:5" x14ac:dyDescent="0.35">
      <c r="A19" s="7" t="s">
        <v>264</v>
      </c>
    </row>
    <row r="20" spans="1:5" x14ac:dyDescent="0.35">
      <c r="A20" s="6" t="s">
        <v>237</v>
      </c>
      <c r="B20" t="s">
        <v>260</v>
      </c>
    </row>
    <row r="21" spans="1:5" x14ac:dyDescent="0.35">
      <c r="A21" s="9" t="s">
        <v>251</v>
      </c>
      <c r="B21" s="8">
        <v>-0.56651670420531808</v>
      </c>
    </row>
    <row r="22" spans="1:5" x14ac:dyDescent="0.35">
      <c r="A22" s="9" t="s">
        <v>252</v>
      </c>
      <c r="B22" s="8">
        <v>-0.29847472599081309</v>
      </c>
    </row>
    <row r="23" spans="1:5" x14ac:dyDescent="0.35">
      <c r="A23" s="9" t="s">
        <v>253</v>
      </c>
      <c r="B23" s="8">
        <v>1.4725955764849548</v>
      </c>
    </row>
    <row r="24" spans="1:5" x14ac:dyDescent="0.35">
      <c r="A24" s="9" t="s">
        <v>254</v>
      </c>
      <c r="B24" s="8">
        <v>-2.9571211242745434</v>
      </c>
    </row>
    <row r="25" spans="1:5" x14ac:dyDescent="0.35">
      <c r="A25" s="9" t="s">
        <v>242</v>
      </c>
      <c r="B25" s="8">
        <v>0.90467469520058041</v>
      </c>
    </row>
    <row r="26" spans="1:5" x14ac:dyDescent="0.35">
      <c r="A26" s="9" t="s">
        <v>243</v>
      </c>
      <c r="B26" s="8">
        <v>3.5446817554040484</v>
      </c>
    </row>
    <row r="27" spans="1:5" x14ac:dyDescent="0.35">
      <c r="A27" s="9" t="s">
        <v>244</v>
      </c>
      <c r="B27" s="8">
        <v>4.6977223477089112</v>
      </c>
    </row>
    <row r="28" spans="1:5" x14ac:dyDescent="0.35">
      <c r="A28" s="9" t="s">
        <v>245</v>
      </c>
      <c r="B28" s="8">
        <v>2.5651546551908972</v>
      </c>
    </row>
    <row r="29" spans="1:5" x14ac:dyDescent="0.35">
      <c r="A29" s="9" t="s">
        <v>246</v>
      </c>
      <c r="B29" s="8">
        <v>0.14038749890983437</v>
      </c>
    </row>
    <row r="30" spans="1:5" x14ac:dyDescent="0.35">
      <c r="A30" s="9" t="s">
        <v>247</v>
      </c>
      <c r="B30" s="8">
        <v>-0.39136694084257623</v>
      </c>
    </row>
    <row r="31" spans="1:5" x14ac:dyDescent="0.35">
      <c r="A31" s="9" t="s">
        <v>248</v>
      </c>
      <c r="B31" s="8">
        <v>3.4889930144666912</v>
      </c>
    </row>
    <row r="32" spans="1:5" x14ac:dyDescent="0.35">
      <c r="A32" s="9" t="s">
        <v>249</v>
      </c>
      <c r="B32" s="8">
        <v>1.8113530726371017</v>
      </c>
    </row>
    <row r="33" spans="1:2" x14ac:dyDescent="0.35">
      <c r="A33" s="9" t="s">
        <v>238</v>
      </c>
      <c r="B33" s="8">
        <v>1.3287487960970459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2322-5ABF-4A44-ACDF-9EE77D8E1F6F}">
  <dimension ref="A1:J225"/>
  <sheetViews>
    <sheetView tabSelected="1" topLeftCell="A2" workbookViewId="0">
      <selection activeCell="C14" activeCellId="1" sqref="M17 A2:J225"/>
    </sheetView>
  </sheetViews>
  <sheetFormatPr defaultRowHeight="14.5" x14ac:dyDescent="0.35"/>
  <cols>
    <col min="1" max="1" width="10.08984375" bestFit="1" customWidth="1"/>
    <col min="2" max="2" width="10.7265625" customWidth="1"/>
    <col min="8" max="8" width="10.453125" customWidth="1"/>
    <col min="9" max="9" width="19.81640625" bestFit="1" customWidth="1"/>
    <col min="10" max="10" width="12.453125" customWidth="1"/>
  </cols>
  <sheetData>
    <row r="1" spans="1:10" x14ac:dyDescent="0.35">
      <c r="A1" s="2" t="s">
        <v>0</v>
      </c>
      <c r="B1" s="2" t="s">
        <v>6</v>
      </c>
      <c r="C1" s="2" t="s">
        <v>235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234</v>
      </c>
      <c r="J1" s="2" t="s">
        <v>236</v>
      </c>
    </row>
    <row r="2" spans="1:10" x14ac:dyDescent="0.35">
      <c r="A2" s="3">
        <v>45627</v>
      </c>
      <c r="B2" s="3" t="s">
        <v>63</v>
      </c>
      <c r="C2" s="1">
        <v>884.22</v>
      </c>
      <c r="D2" s="1">
        <v>899.51</v>
      </c>
      <c r="E2" s="1">
        <v>937.67</v>
      </c>
      <c r="F2" s="1">
        <v>880.61</v>
      </c>
      <c r="G2" s="1" t="s">
        <v>7</v>
      </c>
      <c r="H2" s="4">
        <v>-1.29E-2</v>
      </c>
      <c r="I2" s="1">
        <f>((C2-D2)/D2)*100</f>
        <v>-1.6998143433647166</v>
      </c>
      <c r="J2" s="1">
        <f>(E2-F2)</f>
        <v>57.059999999999945</v>
      </c>
    </row>
    <row r="3" spans="1:10" x14ac:dyDescent="0.35">
      <c r="A3" s="3">
        <v>45597</v>
      </c>
      <c r="B3" s="3" t="s">
        <v>63</v>
      </c>
      <c r="C3" s="1">
        <v>895.8</v>
      </c>
      <c r="D3" s="1">
        <v>864.35</v>
      </c>
      <c r="E3" s="1">
        <v>915.77</v>
      </c>
      <c r="F3" s="1">
        <v>833.97</v>
      </c>
      <c r="G3" s="1" t="s">
        <v>8</v>
      </c>
      <c r="H3" s="4">
        <v>3.4799999999999998E-2</v>
      </c>
      <c r="I3" s="1">
        <f t="shared" ref="I3:I66" si="0">((C3-D3)/D3)*100</f>
        <v>3.6385723375947165</v>
      </c>
      <c r="J3" s="1">
        <f t="shared" ref="J3:J66" si="1">(E3-F3)</f>
        <v>81.799999999999955</v>
      </c>
    </row>
    <row r="4" spans="1:10" x14ac:dyDescent="0.35">
      <c r="A4" s="3">
        <v>45566</v>
      </c>
      <c r="B4" s="3" t="s">
        <v>63</v>
      </c>
      <c r="C4" s="1">
        <v>865.7</v>
      </c>
      <c r="D4" s="1">
        <v>859.86</v>
      </c>
      <c r="E4" s="1">
        <v>882.13</v>
      </c>
      <c r="F4" s="1">
        <v>804.5</v>
      </c>
      <c r="G4" s="1" t="s">
        <v>9</v>
      </c>
      <c r="H4" s="4">
        <v>2.0999999999999999E-3</v>
      </c>
      <c r="I4" s="1">
        <f t="shared" si="0"/>
        <v>0.67918033168190539</v>
      </c>
      <c r="J4" s="1">
        <f t="shared" si="1"/>
        <v>77.63</v>
      </c>
    </row>
    <row r="5" spans="1:10" x14ac:dyDescent="0.35">
      <c r="A5" s="3">
        <v>45536</v>
      </c>
      <c r="B5" s="3" t="s">
        <v>63</v>
      </c>
      <c r="C5" s="1">
        <v>863.88</v>
      </c>
      <c r="D5" s="1">
        <v>821.36</v>
      </c>
      <c r="E5" s="1">
        <v>891.78</v>
      </c>
      <c r="F5" s="1">
        <v>809.59</v>
      </c>
      <c r="G5" s="1" t="s">
        <v>10</v>
      </c>
      <c r="H5" s="4">
        <v>5.8099999999999999E-2</v>
      </c>
      <c r="I5" s="1">
        <f t="shared" si="0"/>
        <v>5.1767799746761449</v>
      </c>
      <c r="J5" s="1">
        <f t="shared" si="1"/>
        <v>82.189999999999941</v>
      </c>
    </row>
    <row r="6" spans="1:10" x14ac:dyDescent="0.35">
      <c r="A6" s="3">
        <v>45505</v>
      </c>
      <c r="B6" s="3" t="s">
        <v>63</v>
      </c>
      <c r="C6" s="1">
        <v>816.42</v>
      </c>
      <c r="D6" s="1">
        <v>809.44</v>
      </c>
      <c r="E6" s="1">
        <v>835.9</v>
      </c>
      <c r="F6" s="1">
        <v>794.67</v>
      </c>
      <c r="G6" s="1" t="s">
        <v>11</v>
      </c>
      <c r="H6" s="4">
        <v>1.3100000000000001E-2</v>
      </c>
      <c r="I6" s="1">
        <f t="shared" si="0"/>
        <v>0.86232457007312502</v>
      </c>
      <c r="J6" s="1">
        <f t="shared" si="1"/>
        <v>41.230000000000018</v>
      </c>
    </row>
    <row r="7" spans="1:10" x14ac:dyDescent="0.35">
      <c r="A7" s="3">
        <v>45474</v>
      </c>
      <c r="B7" s="3" t="s">
        <v>63</v>
      </c>
      <c r="C7" s="1">
        <v>805.87</v>
      </c>
      <c r="D7" s="1">
        <v>837.92</v>
      </c>
      <c r="E7" s="1">
        <v>894.77</v>
      </c>
      <c r="F7" s="1">
        <v>792.05</v>
      </c>
      <c r="G7" s="1" t="s">
        <v>12</v>
      </c>
      <c r="H7" s="4">
        <v>-4.0399999999999998E-2</v>
      </c>
      <c r="I7" s="1">
        <f t="shared" si="0"/>
        <v>-3.8249474890204263</v>
      </c>
      <c r="J7" s="1">
        <f t="shared" si="1"/>
        <v>102.72000000000003</v>
      </c>
    </row>
    <row r="8" spans="1:10" x14ac:dyDescent="0.35">
      <c r="A8" s="3">
        <v>45444</v>
      </c>
      <c r="B8" s="3" t="s">
        <v>63</v>
      </c>
      <c r="C8" s="1">
        <v>839.81</v>
      </c>
      <c r="D8" s="1">
        <v>797.52</v>
      </c>
      <c r="E8" s="1">
        <v>856.34</v>
      </c>
      <c r="F8" s="1">
        <v>725.2</v>
      </c>
      <c r="G8" s="1" t="s">
        <v>13</v>
      </c>
      <c r="H8" s="4">
        <v>9.9400000000000002E-2</v>
      </c>
      <c r="I8" s="1">
        <f t="shared" si="0"/>
        <v>5.302688333834884</v>
      </c>
      <c r="J8" s="1">
        <f t="shared" si="1"/>
        <v>131.13999999999999</v>
      </c>
    </row>
    <row r="9" spans="1:10" x14ac:dyDescent="0.35">
      <c r="A9" s="3">
        <v>45413</v>
      </c>
      <c r="B9" s="3" t="s">
        <v>63</v>
      </c>
      <c r="C9" s="1">
        <v>763.87</v>
      </c>
      <c r="D9" s="1">
        <v>759.11</v>
      </c>
      <c r="E9" s="1">
        <v>770.58</v>
      </c>
      <c r="F9" s="1">
        <v>711.63</v>
      </c>
      <c r="G9" s="1" t="s">
        <v>14</v>
      </c>
      <c r="H9" s="4">
        <v>7.4999999999999997E-3</v>
      </c>
      <c r="I9" s="1">
        <f t="shared" si="0"/>
        <v>0.62705009814124313</v>
      </c>
      <c r="J9" s="1">
        <f t="shared" si="1"/>
        <v>58.950000000000045</v>
      </c>
    </row>
    <row r="10" spans="1:10" x14ac:dyDescent="0.35">
      <c r="A10" s="3">
        <v>45383</v>
      </c>
      <c r="B10" s="3" t="s">
        <v>63</v>
      </c>
      <c r="C10" s="1">
        <v>758.16</v>
      </c>
      <c r="D10" s="1">
        <v>727.19</v>
      </c>
      <c r="E10" s="1">
        <v>776.77</v>
      </c>
      <c r="F10" s="1">
        <v>725.99</v>
      </c>
      <c r="G10" s="1" t="s">
        <v>15</v>
      </c>
      <c r="H10" s="4">
        <v>4.99E-2</v>
      </c>
      <c r="I10" s="1">
        <f t="shared" si="0"/>
        <v>4.2588594452618871</v>
      </c>
      <c r="J10" s="1">
        <f t="shared" si="1"/>
        <v>50.779999999999973</v>
      </c>
    </row>
    <row r="11" spans="1:10" x14ac:dyDescent="0.35">
      <c r="A11" s="3">
        <v>45352</v>
      </c>
      <c r="B11" s="3" t="s">
        <v>63</v>
      </c>
      <c r="C11" s="1">
        <v>722.15</v>
      </c>
      <c r="D11" s="1">
        <v>698.26</v>
      </c>
      <c r="E11" s="1">
        <v>733.97</v>
      </c>
      <c r="F11" s="1">
        <v>698.26</v>
      </c>
      <c r="G11" s="1" t="s">
        <v>16</v>
      </c>
      <c r="H11" s="4">
        <v>3.1699999999999999E-2</v>
      </c>
      <c r="I11" s="1">
        <f t="shared" si="0"/>
        <v>3.4213616704379439</v>
      </c>
      <c r="J11" s="1">
        <f t="shared" si="1"/>
        <v>35.710000000000036</v>
      </c>
    </row>
    <row r="12" spans="1:10" x14ac:dyDescent="0.35">
      <c r="A12" s="3">
        <v>45323</v>
      </c>
      <c r="B12" s="3" t="s">
        <v>63</v>
      </c>
      <c r="C12" s="1">
        <v>699.96</v>
      </c>
      <c r="D12" s="1">
        <v>730.71</v>
      </c>
      <c r="E12" s="1">
        <v>738.59</v>
      </c>
      <c r="F12" s="1">
        <v>680.08</v>
      </c>
      <c r="G12" s="1" t="s">
        <v>17</v>
      </c>
      <c r="H12" s="4">
        <v>-4.0399999999999998E-2</v>
      </c>
      <c r="I12" s="1">
        <f t="shared" si="0"/>
        <v>-4.2082358254300605</v>
      </c>
      <c r="J12" s="1">
        <f t="shared" si="1"/>
        <v>58.509999999999991</v>
      </c>
    </row>
    <row r="13" spans="1:10" x14ac:dyDescent="0.35">
      <c r="A13" s="3">
        <v>45292</v>
      </c>
      <c r="B13" s="3" t="s">
        <v>63</v>
      </c>
      <c r="C13" s="1">
        <v>729.46</v>
      </c>
      <c r="D13" s="1">
        <v>850.88</v>
      </c>
      <c r="E13" s="1">
        <v>852.45</v>
      </c>
      <c r="F13" s="1">
        <v>688.41</v>
      </c>
      <c r="G13" s="1" t="s">
        <v>18</v>
      </c>
      <c r="H13" s="4">
        <v>-0.14430000000000001</v>
      </c>
      <c r="I13" s="1">
        <f t="shared" si="0"/>
        <v>-14.269932305377958</v>
      </c>
      <c r="J13" s="1">
        <f t="shared" si="1"/>
        <v>164.04000000000008</v>
      </c>
    </row>
    <row r="14" spans="1:10" x14ac:dyDescent="0.35">
      <c r="A14" s="3">
        <v>45261</v>
      </c>
      <c r="B14" s="3" t="s">
        <v>63</v>
      </c>
      <c r="C14" s="1">
        <v>852.5</v>
      </c>
      <c r="D14" s="1">
        <v>777.02</v>
      </c>
      <c r="E14" s="1">
        <v>858.56</v>
      </c>
      <c r="F14" s="1">
        <v>774.12</v>
      </c>
      <c r="G14" s="1" t="s">
        <v>19</v>
      </c>
      <c r="H14" s="4">
        <v>9.6500000000000002E-2</v>
      </c>
      <c r="I14" s="1">
        <f t="shared" si="0"/>
        <v>9.7140356747574099</v>
      </c>
      <c r="J14" s="1">
        <f t="shared" si="1"/>
        <v>84.439999999999941</v>
      </c>
    </row>
    <row r="15" spans="1:10" x14ac:dyDescent="0.35">
      <c r="A15" s="3">
        <v>45231</v>
      </c>
      <c r="B15" s="3" t="s">
        <v>63</v>
      </c>
      <c r="C15" s="1">
        <v>777.47</v>
      </c>
      <c r="D15" s="1">
        <v>729.31</v>
      </c>
      <c r="E15" s="1">
        <v>784.27</v>
      </c>
      <c r="F15" s="1">
        <v>729.31</v>
      </c>
      <c r="G15" s="1" t="s">
        <v>20</v>
      </c>
      <c r="H15" s="4">
        <v>5.57E-2</v>
      </c>
      <c r="I15" s="1">
        <f t="shared" si="0"/>
        <v>6.6035019401900543</v>
      </c>
      <c r="J15" s="1">
        <f t="shared" si="1"/>
        <v>54.960000000000036</v>
      </c>
    </row>
    <row r="16" spans="1:10" x14ac:dyDescent="0.35">
      <c r="A16" s="3">
        <v>45200</v>
      </c>
      <c r="B16" s="3" t="s">
        <v>63</v>
      </c>
      <c r="C16" s="1">
        <v>736.42</v>
      </c>
      <c r="D16" s="1">
        <v>761.6</v>
      </c>
      <c r="E16" s="1">
        <v>775.94</v>
      </c>
      <c r="F16" s="1">
        <v>728.31</v>
      </c>
      <c r="G16" s="1" t="s">
        <v>21</v>
      </c>
      <c r="H16" s="4">
        <v>-3.2599999999999997E-2</v>
      </c>
      <c r="I16" s="1">
        <f t="shared" si="0"/>
        <v>-3.3061974789916051</v>
      </c>
      <c r="J16" s="1">
        <f t="shared" si="1"/>
        <v>47.630000000000109</v>
      </c>
    </row>
    <row r="17" spans="1:10" x14ac:dyDescent="0.35">
      <c r="A17" s="3">
        <v>45170</v>
      </c>
      <c r="B17" s="3" t="s">
        <v>63</v>
      </c>
      <c r="C17" s="1">
        <v>761.26</v>
      </c>
      <c r="D17" s="1">
        <v>783.55</v>
      </c>
      <c r="E17" s="1">
        <v>832.93</v>
      </c>
      <c r="F17" s="1">
        <v>755.62</v>
      </c>
      <c r="G17" s="1" t="s">
        <v>22</v>
      </c>
      <c r="H17" s="4">
        <v>-2.87E-2</v>
      </c>
      <c r="I17" s="1">
        <f t="shared" si="0"/>
        <v>-2.8447450705124071</v>
      </c>
      <c r="J17" s="1">
        <f t="shared" si="1"/>
        <v>77.309999999999945</v>
      </c>
    </row>
    <row r="18" spans="1:10" x14ac:dyDescent="0.35">
      <c r="A18" s="3">
        <v>45139</v>
      </c>
      <c r="B18" s="3" t="s">
        <v>63</v>
      </c>
      <c r="C18" s="1">
        <v>783.77</v>
      </c>
      <c r="D18" s="1">
        <v>825.17</v>
      </c>
      <c r="E18" s="1">
        <v>831.66</v>
      </c>
      <c r="F18" s="1">
        <v>777.27</v>
      </c>
      <c r="G18" s="1" t="s">
        <v>23</v>
      </c>
      <c r="H18" s="4">
        <v>-4.8300000000000003E-2</v>
      </c>
      <c r="I18" s="1">
        <f t="shared" si="0"/>
        <v>-5.0171479816280256</v>
      </c>
      <c r="J18" s="1">
        <f t="shared" si="1"/>
        <v>54.389999999999986</v>
      </c>
    </row>
    <row r="19" spans="1:10" x14ac:dyDescent="0.35">
      <c r="A19" s="3">
        <v>45108</v>
      </c>
      <c r="B19" s="3" t="s">
        <v>63</v>
      </c>
      <c r="C19" s="1">
        <v>823.55</v>
      </c>
      <c r="D19" s="1">
        <v>854.12</v>
      </c>
      <c r="E19" s="1">
        <v>876.57</v>
      </c>
      <c r="F19" s="1">
        <v>811.56</v>
      </c>
      <c r="G19" s="1" t="s">
        <v>24</v>
      </c>
      <c r="H19" s="4">
        <v>-2.9499999999999998E-2</v>
      </c>
      <c r="I19" s="1">
        <f t="shared" si="0"/>
        <v>-3.5791223715637206</v>
      </c>
      <c r="J19" s="1">
        <f t="shared" si="1"/>
        <v>65.010000000000105</v>
      </c>
    </row>
    <row r="20" spans="1:10" x14ac:dyDescent="0.35">
      <c r="A20" s="3">
        <v>45078</v>
      </c>
      <c r="B20" s="3" t="s">
        <v>63</v>
      </c>
      <c r="C20" s="1">
        <v>848.59</v>
      </c>
      <c r="D20" s="1">
        <v>807.94</v>
      </c>
      <c r="E20" s="1">
        <v>852.28</v>
      </c>
      <c r="F20" s="1">
        <v>787.54</v>
      </c>
      <c r="G20" s="1" t="s">
        <v>25</v>
      </c>
      <c r="H20" s="4">
        <v>5.62E-2</v>
      </c>
      <c r="I20" s="1">
        <f t="shared" si="0"/>
        <v>5.0313142065004799</v>
      </c>
      <c r="J20" s="1">
        <f t="shared" si="1"/>
        <v>64.740000000000009</v>
      </c>
    </row>
    <row r="21" spans="1:10" x14ac:dyDescent="0.35">
      <c r="A21" s="3">
        <v>45047</v>
      </c>
      <c r="B21" s="3" t="s">
        <v>63</v>
      </c>
      <c r="C21" s="1">
        <v>803.43</v>
      </c>
      <c r="D21" s="1">
        <v>842.25</v>
      </c>
      <c r="E21" s="1">
        <v>865.07</v>
      </c>
      <c r="F21" s="1">
        <v>796.69</v>
      </c>
      <c r="G21" s="1" t="s">
        <v>26</v>
      </c>
      <c r="H21" s="4">
        <v>-4.5499999999999999E-2</v>
      </c>
      <c r="I21" s="1">
        <f t="shared" si="0"/>
        <v>-4.6090828138913684</v>
      </c>
      <c r="J21" s="1">
        <f t="shared" si="1"/>
        <v>68.38</v>
      </c>
    </row>
    <row r="22" spans="1:10" x14ac:dyDescent="0.35">
      <c r="A22" s="3">
        <v>45017</v>
      </c>
      <c r="B22" s="3" t="s">
        <v>63</v>
      </c>
      <c r="C22" s="1">
        <v>841.71</v>
      </c>
      <c r="D22" s="1">
        <v>801.78</v>
      </c>
      <c r="E22" s="1">
        <v>857.87</v>
      </c>
      <c r="F22" s="1">
        <v>799.39</v>
      </c>
      <c r="G22" s="1" t="s">
        <v>27</v>
      </c>
      <c r="H22" s="4">
        <v>4.8500000000000001E-2</v>
      </c>
      <c r="I22" s="1">
        <f t="shared" si="0"/>
        <v>4.9801691236997767</v>
      </c>
      <c r="J22" s="1">
        <f t="shared" si="1"/>
        <v>58.480000000000018</v>
      </c>
    </row>
    <row r="23" spans="1:10" x14ac:dyDescent="0.35">
      <c r="A23" s="3">
        <v>44986</v>
      </c>
      <c r="B23" s="3" t="s">
        <v>63</v>
      </c>
      <c r="C23" s="1">
        <v>802.78</v>
      </c>
      <c r="D23" s="1">
        <v>804</v>
      </c>
      <c r="E23" s="1">
        <v>820.93</v>
      </c>
      <c r="F23" s="1">
        <v>764.12</v>
      </c>
      <c r="G23" s="1" t="s">
        <v>28</v>
      </c>
      <c r="H23" s="4">
        <v>6.1999999999999998E-3</v>
      </c>
      <c r="I23" s="1">
        <f t="shared" si="0"/>
        <v>-0.15174129353234173</v>
      </c>
      <c r="J23" s="1">
        <f t="shared" si="1"/>
        <v>56.809999999999945</v>
      </c>
    </row>
    <row r="24" spans="1:10" x14ac:dyDescent="0.35">
      <c r="A24" s="3">
        <v>44958</v>
      </c>
      <c r="B24" s="3" t="s">
        <v>63</v>
      </c>
      <c r="C24" s="1">
        <v>797.81</v>
      </c>
      <c r="D24" s="1">
        <v>809.98</v>
      </c>
      <c r="E24" s="1">
        <v>838.86</v>
      </c>
      <c r="F24" s="1">
        <v>786.69</v>
      </c>
      <c r="G24" s="1" t="s">
        <v>29</v>
      </c>
      <c r="H24" s="4">
        <v>-2.3999999999999998E-3</v>
      </c>
      <c r="I24" s="1">
        <f t="shared" si="0"/>
        <v>-1.5025062347218539</v>
      </c>
      <c r="J24" s="1">
        <f t="shared" si="1"/>
        <v>52.169999999999959</v>
      </c>
    </row>
    <row r="25" spans="1:10" x14ac:dyDescent="0.35">
      <c r="A25" s="3">
        <v>44927</v>
      </c>
      <c r="B25" s="3" t="s">
        <v>63</v>
      </c>
      <c r="C25" s="1">
        <v>799.76</v>
      </c>
      <c r="D25" s="1">
        <v>811.48</v>
      </c>
      <c r="E25" s="1">
        <v>849.09</v>
      </c>
      <c r="F25" s="1">
        <v>778.06</v>
      </c>
      <c r="G25" s="1" t="s">
        <v>30</v>
      </c>
      <c r="H25" s="4">
        <v>-1.5100000000000001E-2</v>
      </c>
      <c r="I25" s="1">
        <f t="shared" si="0"/>
        <v>-1.444274658648399</v>
      </c>
      <c r="J25" s="1">
        <f t="shared" si="1"/>
        <v>71.030000000000086</v>
      </c>
    </row>
    <row r="26" spans="1:10" x14ac:dyDescent="0.35">
      <c r="A26" s="3">
        <v>44896</v>
      </c>
      <c r="B26" s="3" t="s">
        <v>63</v>
      </c>
      <c r="C26" s="1">
        <v>812.05</v>
      </c>
      <c r="D26" s="1">
        <v>808.99</v>
      </c>
      <c r="E26" s="1">
        <v>832.63</v>
      </c>
      <c r="F26" s="1">
        <v>790.76</v>
      </c>
      <c r="G26" s="1" t="s">
        <v>31</v>
      </c>
      <c r="H26" s="4">
        <v>1.2200000000000001E-2</v>
      </c>
      <c r="I26" s="1">
        <f t="shared" si="0"/>
        <v>0.3782494221189317</v>
      </c>
      <c r="J26" s="1">
        <f t="shared" si="1"/>
        <v>41.870000000000005</v>
      </c>
    </row>
    <row r="27" spans="1:10" x14ac:dyDescent="0.35">
      <c r="A27" s="3">
        <v>44866</v>
      </c>
      <c r="B27" s="3" t="s">
        <v>63</v>
      </c>
      <c r="C27" s="1">
        <v>802.23</v>
      </c>
      <c r="D27" s="1">
        <v>749.88</v>
      </c>
      <c r="E27" s="1">
        <v>818.96</v>
      </c>
      <c r="F27" s="1">
        <v>742.95</v>
      </c>
      <c r="G27" s="1" t="s">
        <v>32</v>
      </c>
      <c r="H27" s="4">
        <v>7.4700000000000003E-2</v>
      </c>
      <c r="I27" s="1">
        <f t="shared" si="0"/>
        <v>6.9811169787165976</v>
      </c>
      <c r="J27" s="1">
        <f t="shared" si="1"/>
        <v>76.009999999999991</v>
      </c>
    </row>
    <row r="28" spans="1:10" x14ac:dyDescent="0.35">
      <c r="A28" s="3">
        <v>44835</v>
      </c>
      <c r="B28" s="3" t="s">
        <v>63</v>
      </c>
      <c r="C28" s="1">
        <v>746.49</v>
      </c>
      <c r="D28" s="1">
        <v>703.23</v>
      </c>
      <c r="E28" s="1">
        <v>747.14</v>
      </c>
      <c r="F28" s="1">
        <v>690.28</v>
      </c>
      <c r="G28" s="1" t="s">
        <v>33</v>
      </c>
      <c r="H28" s="4">
        <v>5.2999999999999999E-2</v>
      </c>
      <c r="I28" s="1">
        <f t="shared" si="0"/>
        <v>6.1516146922059622</v>
      </c>
      <c r="J28" s="1">
        <f t="shared" si="1"/>
        <v>56.860000000000014</v>
      </c>
    </row>
    <row r="29" spans="1:10" x14ac:dyDescent="0.35">
      <c r="A29" s="3">
        <v>44805</v>
      </c>
      <c r="B29" s="3" t="s">
        <v>63</v>
      </c>
      <c r="C29" s="1">
        <v>708.91</v>
      </c>
      <c r="D29" s="1">
        <v>730.56</v>
      </c>
      <c r="E29" s="1">
        <v>768.56</v>
      </c>
      <c r="F29" s="1">
        <v>680.81</v>
      </c>
      <c r="G29" s="1" t="s">
        <v>34</v>
      </c>
      <c r="H29" s="4">
        <v>-4.36E-2</v>
      </c>
      <c r="I29" s="1">
        <f t="shared" si="0"/>
        <v>-2.9634800700832211</v>
      </c>
      <c r="J29" s="1">
        <f t="shared" si="1"/>
        <v>87.75</v>
      </c>
    </row>
    <row r="30" spans="1:10" x14ac:dyDescent="0.35">
      <c r="A30" s="3">
        <v>44774</v>
      </c>
      <c r="B30" s="3" t="s">
        <v>63</v>
      </c>
      <c r="C30" s="1">
        <v>741.21</v>
      </c>
      <c r="D30" s="1">
        <v>717.71</v>
      </c>
      <c r="E30" s="1">
        <v>755.07</v>
      </c>
      <c r="F30" s="1">
        <v>704.72</v>
      </c>
      <c r="G30" s="1" t="s">
        <v>35</v>
      </c>
      <c r="H30" s="4">
        <v>3.6200000000000003E-2</v>
      </c>
      <c r="I30" s="1">
        <f t="shared" si="0"/>
        <v>3.2743029914589461</v>
      </c>
      <c r="J30" s="1">
        <f t="shared" si="1"/>
        <v>50.350000000000023</v>
      </c>
    </row>
    <row r="31" spans="1:10" x14ac:dyDescent="0.35">
      <c r="A31" s="3">
        <v>44743</v>
      </c>
      <c r="B31" s="3" t="s">
        <v>63</v>
      </c>
      <c r="C31" s="1">
        <v>715.32</v>
      </c>
      <c r="D31" s="1">
        <v>670.31</v>
      </c>
      <c r="E31" s="1">
        <v>717.51</v>
      </c>
      <c r="F31" s="1">
        <v>663.37</v>
      </c>
      <c r="G31" s="1" t="s">
        <v>36</v>
      </c>
      <c r="H31" s="4">
        <v>6.3899999999999998E-2</v>
      </c>
      <c r="I31" s="1">
        <f t="shared" si="0"/>
        <v>6.7148035983351146</v>
      </c>
      <c r="J31" s="1">
        <f t="shared" si="1"/>
        <v>54.139999999999986</v>
      </c>
    </row>
    <row r="32" spans="1:10" x14ac:dyDescent="0.35">
      <c r="A32" s="3">
        <v>44713</v>
      </c>
      <c r="B32" s="3" t="s">
        <v>63</v>
      </c>
      <c r="C32" s="1">
        <v>672.33</v>
      </c>
      <c r="D32" s="1">
        <v>688.29</v>
      </c>
      <c r="E32" s="1">
        <v>698.64</v>
      </c>
      <c r="F32" s="1">
        <v>634.22</v>
      </c>
      <c r="G32" s="1" t="s">
        <v>37</v>
      </c>
      <c r="H32" s="4">
        <v>-2.9499999999999998E-2</v>
      </c>
      <c r="I32" s="1">
        <f t="shared" si="0"/>
        <v>-2.3187900448938565</v>
      </c>
      <c r="J32" s="1">
        <f t="shared" si="1"/>
        <v>64.419999999999959</v>
      </c>
    </row>
    <row r="33" spans="1:10" x14ac:dyDescent="0.35">
      <c r="A33" s="3">
        <v>44682</v>
      </c>
      <c r="B33" s="3" t="s">
        <v>63</v>
      </c>
      <c r="C33" s="1">
        <v>692.75</v>
      </c>
      <c r="D33" s="1">
        <v>679.33</v>
      </c>
      <c r="E33" s="1">
        <v>708.49</v>
      </c>
      <c r="F33" s="1">
        <v>637.55999999999995</v>
      </c>
      <c r="G33" s="1" t="s">
        <v>38</v>
      </c>
      <c r="H33" s="4">
        <v>3.0999999999999999E-3</v>
      </c>
      <c r="I33" s="1">
        <f t="shared" si="0"/>
        <v>1.975475836485943</v>
      </c>
      <c r="J33" s="1">
        <f t="shared" si="1"/>
        <v>70.930000000000064</v>
      </c>
    </row>
    <row r="34" spans="1:10" x14ac:dyDescent="0.35">
      <c r="A34" s="3">
        <v>44652</v>
      </c>
      <c r="B34" s="3" t="s">
        <v>63</v>
      </c>
      <c r="C34" s="1">
        <v>690.58</v>
      </c>
      <c r="D34" s="1">
        <v>736.37</v>
      </c>
      <c r="E34" s="1">
        <v>858.91</v>
      </c>
      <c r="F34" s="1">
        <v>659.48</v>
      </c>
      <c r="G34" s="1" t="s">
        <v>39</v>
      </c>
      <c r="H34" s="4">
        <v>-5.8299999999999998E-2</v>
      </c>
      <c r="I34" s="1">
        <f t="shared" si="0"/>
        <v>-6.2183413229762161</v>
      </c>
      <c r="J34" s="1">
        <f t="shared" si="1"/>
        <v>199.42999999999995</v>
      </c>
    </row>
    <row r="35" spans="1:10" x14ac:dyDescent="0.35">
      <c r="A35" s="3">
        <v>44621</v>
      </c>
      <c r="B35" s="3" t="s">
        <v>63</v>
      </c>
      <c r="C35" s="1">
        <v>733.35</v>
      </c>
      <c r="D35" s="1">
        <v>691.53</v>
      </c>
      <c r="E35" s="1">
        <v>757.52</v>
      </c>
      <c r="F35" s="1">
        <v>644.4</v>
      </c>
      <c r="G35" s="1" t="s">
        <v>40</v>
      </c>
      <c r="H35" s="4">
        <v>3.09E-2</v>
      </c>
      <c r="I35" s="1">
        <f t="shared" si="0"/>
        <v>6.0474599800442572</v>
      </c>
      <c r="J35" s="1">
        <f t="shared" si="1"/>
        <v>113.12</v>
      </c>
    </row>
    <row r="36" spans="1:10" x14ac:dyDescent="0.35">
      <c r="A36" s="3">
        <v>44593</v>
      </c>
      <c r="B36" s="3" t="s">
        <v>63</v>
      </c>
      <c r="C36" s="1">
        <v>711.36</v>
      </c>
      <c r="D36" s="1">
        <v>752.38</v>
      </c>
      <c r="E36" s="1">
        <v>768.06</v>
      </c>
      <c r="F36" s="1">
        <v>701.83</v>
      </c>
      <c r="G36" s="1" t="s">
        <v>41</v>
      </c>
      <c r="H36" s="4">
        <v>-0.04</v>
      </c>
      <c r="I36" s="1">
        <f t="shared" si="0"/>
        <v>-5.4520322177622988</v>
      </c>
      <c r="J36" s="1">
        <f t="shared" si="1"/>
        <v>66.229999999999905</v>
      </c>
    </row>
    <row r="37" spans="1:10" x14ac:dyDescent="0.35">
      <c r="A37" s="3">
        <v>44562</v>
      </c>
      <c r="B37" s="3" t="s">
        <v>63</v>
      </c>
      <c r="C37" s="1">
        <v>741.01</v>
      </c>
      <c r="D37" s="1">
        <v>740.66</v>
      </c>
      <c r="E37" s="1">
        <v>786.37</v>
      </c>
      <c r="F37" s="1">
        <v>715.72</v>
      </c>
      <c r="G37" s="1" t="s">
        <v>42</v>
      </c>
      <c r="H37" s="4">
        <v>4.3E-3</v>
      </c>
      <c r="I37" s="1">
        <f t="shared" si="0"/>
        <v>4.7255150811441514E-2</v>
      </c>
      <c r="J37" s="1">
        <f t="shared" si="1"/>
        <v>70.649999999999977</v>
      </c>
    </row>
    <row r="38" spans="1:10" x14ac:dyDescent="0.35">
      <c r="A38" s="3">
        <v>44531</v>
      </c>
      <c r="B38" s="3" t="s">
        <v>63</v>
      </c>
      <c r="C38" s="1">
        <v>737.86</v>
      </c>
      <c r="D38" s="1">
        <v>745.64</v>
      </c>
      <c r="E38" s="1">
        <v>775.6</v>
      </c>
      <c r="F38" s="1">
        <v>705.3</v>
      </c>
      <c r="G38" s="1" t="s">
        <v>43</v>
      </c>
      <c r="H38" s="4">
        <v>-9.4999999999999998E-3</v>
      </c>
      <c r="I38" s="1">
        <f t="shared" si="0"/>
        <v>-1.0433989592832966</v>
      </c>
      <c r="J38" s="1">
        <f t="shared" si="1"/>
        <v>70.300000000000068</v>
      </c>
    </row>
    <row r="39" spans="1:10" x14ac:dyDescent="0.35">
      <c r="A39" s="3">
        <v>44501</v>
      </c>
      <c r="B39" s="3" t="s">
        <v>63</v>
      </c>
      <c r="C39" s="1">
        <v>744.92</v>
      </c>
      <c r="D39" s="1">
        <v>790.53</v>
      </c>
      <c r="E39" s="1">
        <v>808.99</v>
      </c>
      <c r="F39" s="1">
        <v>729.19</v>
      </c>
      <c r="G39" s="1" t="s">
        <v>44</v>
      </c>
      <c r="H39" s="4">
        <v>-5.6399999999999999E-2</v>
      </c>
      <c r="I39" s="1">
        <f t="shared" si="0"/>
        <v>-5.7695470127635904</v>
      </c>
      <c r="J39" s="1">
        <f t="shared" si="1"/>
        <v>79.799999999999955</v>
      </c>
    </row>
    <row r="40" spans="1:10" x14ac:dyDescent="0.35">
      <c r="A40" s="3">
        <v>44470</v>
      </c>
      <c r="B40" s="3" t="s">
        <v>63</v>
      </c>
      <c r="C40" s="1">
        <v>789.46</v>
      </c>
      <c r="D40" s="1">
        <v>789.54</v>
      </c>
      <c r="E40" s="1">
        <v>860.36</v>
      </c>
      <c r="F40" s="1">
        <v>778.06</v>
      </c>
      <c r="G40" s="1" t="s">
        <v>45</v>
      </c>
      <c r="H40" s="4">
        <v>-7.6E-3</v>
      </c>
      <c r="I40" s="1">
        <f t="shared" si="0"/>
        <v>-1.0132482204818914E-2</v>
      </c>
      <c r="J40" s="1">
        <f t="shared" si="1"/>
        <v>82.300000000000068</v>
      </c>
    </row>
    <row r="41" spans="1:10" x14ac:dyDescent="0.35">
      <c r="A41" s="3">
        <v>44440</v>
      </c>
      <c r="B41" s="3" t="s">
        <v>63</v>
      </c>
      <c r="C41" s="1">
        <v>795.5</v>
      </c>
      <c r="D41" s="1">
        <v>785.55</v>
      </c>
      <c r="E41" s="1">
        <v>815.72</v>
      </c>
      <c r="F41" s="1">
        <v>762.58</v>
      </c>
      <c r="G41" s="1" t="s">
        <v>46</v>
      </c>
      <c r="H41" s="4">
        <v>8.6E-3</v>
      </c>
      <c r="I41" s="1">
        <f t="shared" si="0"/>
        <v>1.26662847686335</v>
      </c>
      <c r="J41" s="1">
        <f t="shared" si="1"/>
        <v>53.139999999999986</v>
      </c>
    </row>
    <row r="42" spans="1:10" x14ac:dyDescent="0.35">
      <c r="A42" s="3">
        <v>44409</v>
      </c>
      <c r="B42" s="3" t="s">
        <v>63</v>
      </c>
      <c r="C42" s="1">
        <v>788.74</v>
      </c>
      <c r="D42" s="1">
        <v>715.72</v>
      </c>
      <c r="E42" s="1">
        <v>789.71</v>
      </c>
      <c r="F42" s="1">
        <v>703.25</v>
      </c>
      <c r="G42" s="1" t="s">
        <v>47</v>
      </c>
      <c r="H42" s="4">
        <v>0.1086</v>
      </c>
      <c r="I42" s="1">
        <f t="shared" si="0"/>
        <v>10.202313753982001</v>
      </c>
      <c r="J42" s="1">
        <f t="shared" si="1"/>
        <v>86.460000000000036</v>
      </c>
    </row>
    <row r="43" spans="1:10" x14ac:dyDescent="0.35">
      <c r="A43" s="3">
        <v>44378</v>
      </c>
      <c r="B43" s="3" t="s">
        <v>63</v>
      </c>
      <c r="C43" s="1">
        <v>711.45</v>
      </c>
      <c r="D43" s="1">
        <v>749.14</v>
      </c>
      <c r="E43" s="1">
        <v>770.76</v>
      </c>
      <c r="F43" s="1">
        <v>700.26</v>
      </c>
      <c r="G43" s="1" t="s">
        <v>48</v>
      </c>
      <c r="H43" s="4">
        <v>-4.7699999999999999E-2</v>
      </c>
      <c r="I43" s="1">
        <f t="shared" si="0"/>
        <v>-5.0311023306724971</v>
      </c>
      <c r="J43" s="1">
        <f t="shared" si="1"/>
        <v>70.5</v>
      </c>
    </row>
    <row r="44" spans="1:10" x14ac:dyDescent="0.35">
      <c r="A44" s="3">
        <v>44348</v>
      </c>
      <c r="B44" s="3" t="s">
        <v>63</v>
      </c>
      <c r="C44" s="1">
        <v>747.09</v>
      </c>
      <c r="D44" s="1">
        <v>758.26</v>
      </c>
      <c r="E44" s="1">
        <v>761.6</v>
      </c>
      <c r="F44" s="1">
        <v>725.69</v>
      </c>
      <c r="G44" s="1" t="s">
        <v>49</v>
      </c>
      <c r="H44" s="4">
        <v>-1.18E-2</v>
      </c>
      <c r="I44" s="1">
        <f t="shared" si="0"/>
        <v>-1.4731094875108748</v>
      </c>
      <c r="J44" s="1">
        <f t="shared" si="1"/>
        <v>35.909999999999968</v>
      </c>
    </row>
    <row r="45" spans="1:10" x14ac:dyDescent="0.35">
      <c r="A45" s="3">
        <v>44317</v>
      </c>
      <c r="B45" s="3" t="s">
        <v>63</v>
      </c>
      <c r="C45" s="1">
        <v>756.04</v>
      </c>
      <c r="D45" s="1">
        <v>694.77</v>
      </c>
      <c r="E45" s="1">
        <v>758.34</v>
      </c>
      <c r="F45" s="1">
        <v>686.94</v>
      </c>
      <c r="G45" s="1" t="s">
        <v>50</v>
      </c>
      <c r="H45" s="4">
        <v>7.3300000000000004E-2</v>
      </c>
      <c r="I45" s="1">
        <f t="shared" si="0"/>
        <v>8.8187457719820923</v>
      </c>
      <c r="J45" s="1">
        <f t="shared" si="1"/>
        <v>71.399999999999977</v>
      </c>
    </row>
    <row r="46" spans="1:10" x14ac:dyDescent="0.35">
      <c r="A46" s="3">
        <v>44287</v>
      </c>
      <c r="B46" s="3" t="s">
        <v>63</v>
      </c>
      <c r="C46" s="1">
        <v>704.4</v>
      </c>
      <c r="D46" s="1">
        <v>747.84</v>
      </c>
      <c r="E46" s="1">
        <v>749.96</v>
      </c>
      <c r="F46" s="1">
        <v>674.82</v>
      </c>
      <c r="G46" s="1" t="s">
        <v>51</v>
      </c>
      <c r="H46" s="4">
        <v>-5.45E-2</v>
      </c>
      <c r="I46" s="1">
        <f t="shared" si="0"/>
        <v>-5.8087291399229848</v>
      </c>
      <c r="J46" s="1">
        <f t="shared" si="1"/>
        <v>75.139999999999986</v>
      </c>
    </row>
    <row r="47" spans="1:10" x14ac:dyDescent="0.35">
      <c r="A47" s="3">
        <v>44256</v>
      </c>
      <c r="B47" s="3" t="s">
        <v>63</v>
      </c>
      <c r="C47" s="1">
        <v>744.97</v>
      </c>
      <c r="D47" s="1">
        <v>780.06</v>
      </c>
      <c r="E47" s="1">
        <v>798.01</v>
      </c>
      <c r="F47" s="1">
        <v>723.33</v>
      </c>
      <c r="G47" s="1" t="s">
        <v>52</v>
      </c>
      <c r="H47" s="4">
        <v>-2.6599999999999999E-2</v>
      </c>
      <c r="I47" s="1">
        <f t="shared" si="0"/>
        <v>-4.4983719201086991</v>
      </c>
      <c r="J47" s="1">
        <f t="shared" si="1"/>
        <v>74.67999999999995</v>
      </c>
    </row>
    <row r="48" spans="1:10" x14ac:dyDescent="0.35">
      <c r="A48" s="3">
        <v>44228</v>
      </c>
      <c r="B48" s="3" t="s">
        <v>63</v>
      </c>
      <c r="C48" s="1">
        <v>765.3</v>
      </c>
      <c r="D48" s="1">
        <v>703.37</v>
      </c>
      <c r="E48" s="1">
        <v>818.46</v>
      </c>
      <c r="F48" s="1">
        <v>698.76</v>
      </c>
      <c r="G48" s="1" t="s">
        <v>53</v>
      </c>
      <c r="H48" s="4">
        <v>0.10349999999999999</v>
      </c>
      <c r="I48" s="1">
        <f t="shared" si="0"/>
        <v>8.8047542545175297</v>
      </c>
      <c r="J48" s="1">
        <f t="shared" si="1"/>
        <v>119.70000000000005</v>
      </c>
    </row>
    <row r="49" spans="1:10" x14ac:dyDescent="0.35">
      <c r="A49" s="3">
        <v>44197</v>
      </c>
      <c r="B49" s="3" t="s">
        <v>63</v>
      </c>
      <c r="C49" s="1">
        <v>693.52</v>
      </c>
      <c r="D49" s="1">
        <v>718.21</v>
      </c>
      <c r="E49" s="1">
        <v>753.95</v>
      </c>
      <c r="F49" s="1">
        <v>669.33</v>
      </c>
      <c r="G49" s="1" t="s">
        <v>54</v>
      </c>
      <c r="H49" s="4">
        <v>-3.1899999999999998E-2</v>
      </c>
      <c r="I49" s="1">
        <f t="shared" si="0"/>
        <v>-3.4377132036591043</v>
      </c>
      <c r="J49" s="1">
        <f t="shared" si="1"/>
        <v>84.62</v>
      </c>
    </row>
    <row r="50" spans="1:10" x14ac:dyDescent="0.35">
      <c r="A50" s="3">
        <v>44166</v>
      </c>
      <c r="B50" s="3" t="s">
        <v>63</v>
      </c>
      <c r="C50" s="1">
        <v>716.37</v>
      </c>
      <c r="D50" s="1">
        <v>718.64</v>
      </c>
      <c r="E50" s="1">
        <v>722.7</v>
      </c>
      <c r="F50" s="1">
        <v>670.83</v>
      </c>
      <c r="G50" s="1" t="s">
        <v>55</v>
      </c>
      <c r="H50" s="4">
        <v>-3.2000000000000002E-3</v>
      </c>
      <c r="I50" s="1">
        <f t="shared" si="0"/>
        <v>-0.31587442947790018</v>
      </c>
      <c r="J50" s="1">
        <f t="shared" si="1"/>
        <v>51.870000000000005</v>
      </c>
    </row>
    <row r="51" spans="1:10" x14ac:dyDescent="0.35">
      <c r="A51" s="3">
        <v>44136</v>
      </c>
      <c r="B51" s="3" t="s">
        <v>63</v>
      </c>
      <c r="C51" s="1">
        <v>718.64</v>
      </c>
      <c r="D51" s="1">
        <v>595.69000000000005</v>
      </c>
      <c r="E51" s="1">
        <v>730.38</v>
      </c>
      <c r="F51" s="1">
        <v>587.29</v>
      </c>
      <c r="G51" s="1" t="s">
        <v>56</v>
      </c>
      <c r="H51" s="4">
        <v>0.21740000000000001</v>
      </c>
      <c r="I51" s="1">
        <f t="shared" si="0"/>
        <v>20.639930165018704</v>
      </c>
      <c r="J51" s="1">
        <f t="shared" si="1"/>
        <v>143.09000000000003</v>
      </c>
    </row>
    <row r="52" spans="1:10" x14ac:dyDescent="0.35">
      <c r="A52" s="3">
        <v>44105</v>
      </c>
      <c r="B52" s="3" t="s">
        <v>63</v>
      </c>
      <c r="C52" s="1">
        <v>590.30999999999995</v>
      </c>
      <c r="D52" s="1">
        <v>543.70000000000005</v>
      </c>
      <c r="E52" s="1">
        <v>623.95000000000005</v>
      </c>
      <c r="F52" s="1">
        <v>543.70000000000005</v>
      </c>
      <c r="G52" s="1" t="s">
        <v>57</v>
      </c>
      <c r="H52" s="4">
        <v>9.7299999999999998E-2</v>
      </c>
      <c r="I52" s="1">
        <f t="shared" si="0"/>
        <v>8.5727423211329583</v>
      </c>
      <c r="J52" s="1">
        <f t="shared" si="1"/>
        <v>80.25</v>
      </c>
    </row>
    <row r="53" spans="1:10" x14ac:dyDescent="0.35">
      <c r="A53" s="3">
        <v>44075</v>
      </c>
      <c r="B53" s="3" t="s">
        <v>63</v>
      </c>
      <c r="C53" s="1">
        <v>537.96</v>
      </c>
      <c r="D53" s="1">
        <v>562.6</v>
      </c>
      <c r="E53" s="1">
        <v>571.54999999999995</v>
      </c>
      <c r="F53" s="1">
        <v>511.23</v>
      </c>
      <c r="G53" s="1" t="s">
        <v>58</v>
      </c>
      <c r="H53" s="4">
        <v>-3.3399999999999999E-2</v>
      </c>
      <c r="I53" s="1">
        <f t="shared" si="0"/>
        <v>-4.3796658371844979</v>
      </c>
      <c r="J53" s="1">
        <f t="shared" si="1"/>
        <v>60.319999999999936</v>
      </c>
    </row>
    <row r="54" spans="1:10" x14ac:dyDescent="0.35">
      <c r="A54" s="3">
        <v>44044</v>
      </c>
      <c r="B54" s="3" t="s">
        <v>63</v>
      </c>
      <c r="C54" s="1">
        <v>556.54</v>
      </c>
      <c r="D54" s="1">
        <v>511.7</v>
      </c>
      <c r="E54" s="1">
        <v>572.97</v>
      </c>
      <c r="F54" s="1">
        <v>495.27</v>
      </c>
      <c r="G54" s="1" t="s">
        <v>59</v>
      </c>
      <c r="H54" s="4">
        <v>8.0399999999999999E-2</v>
      </c>
      <c r="I54" s="1">
        <f t="shared" si="0"/>
        <v>8.7629470392808244</v>
      </c>
      <c r="J54" s="1">
        <f t="shared" si="1"/>
        <v>77.700000000000045</v>
      </c>
    </row>
    <row r="55" spans="1:10" x14ac:dyDescent="0.35">
      <c r="A55" s="3">
        <v>44013</v>
      </c>
      <c r="B55" s="3" t="s">
        <v>63</v>
      </c>
      <c r="C55" s="1">
        <v>515.12</v>
      </c>
      <c r="D55" s="1">
        <v>531.6</v>
      </c>
      <c r="E55" s="1">
        <v>577.54</v>
      </c>
      <c r="F55" s="1">
        <v>508.76</v>
      </c>
      <c r="G55" s="1" t="s">
        <v>60</v>
      </c>
      <c r="H55" s="4">
        <v>-3.1E-2</v>
      </c>
      <c r="I55" s="1">
        <f t="shared" si="0"/>
        <v>-3.1000752445447737</v>
      </c>
      <c r="J55" s="1">
        <f t="shared" si="1"/>
        <v>68.779999999999973</v>
      </c>
    </row>
    <row r="56" spans="1:10" x14ac:dyDescent="0.35">
      <c r="A56" s="3">
        <v>43983</v>
      </c>
      <c r="B56" s="3" t="s">
        <v>63</v>
      </c>
      <c r="C56" s="1">
        <v>531.6</v>
      </c>
      <c r="D56" s="1">
        <v>486.29</v>
      </c>
      <c r="E56" s="1">
        <v>539.96</v>
      </c>
      <c r="F56" s="1">
        <v>462.85</v>
      </c>
      <c r="G56" s="1" t="s">
        <v>61</v>
      </c>
      <c r="H56" s="4">
        <v>0.12</v>
      </c>
      <c r="I56" s="1">
        <f t="shared" si="0"/>
        <v>9.3174854510682934</v>
      </c>
      <c r="J56" s="1">
        <f t="shared" si="1"/>
        <v>77.110000000000014</v>
      </c>
    </row>
    <row r="57" spans="1:10" x14ac:dyDescent="0.35">
      <c r="A57" s="3">
        <v>43952</v>
      </c>
      <c r="B57" s="3" t="s">
        <v>63</v>
      </c>
      <c r="C57" s="1">
        <v>474.64</v>
      </c>
      <c r="D57" s="1">
        <v>477.56</v>
      </c>
      <c r="E57" s="1">
        <v>478.81</v>
      </c>
      <c r="F57" s="1">
        <v>412.02</v>
      </c>
      <c r="G57" s="1" t="s">
        <v>62</v>
      </c>
      <c r="H57" s="4">
        <v>-5.0099999999999999E-2</v>
      </c>
      <c r="I57" s="1">
        <f t="shared" si="0"/>
        <v>-0.61144149426250438</v>
      </c>
      <c r="J57" s="1">
        <f t="shared" si="1"/>
        <v>66.79000000000002</v>
      </c>
    </row>
    <row r="58" spans="1:10" x14ac:dyDescent="0.35">
      <c r="A58" s="3">
        <v>45627</v>
      </c>
      <c r="B58" s="3" t="s">
        <v>232</v>
      </c>
      <c r="C58" s="5">
        <v>1880</v>
      </c>
      <c r="D58" s="5">
        <v>1859</v>
      </c>
      <c r="E58" s="5">
        <v>2006.45</v>
      </c>
      <c r="F58" s="5">
        <v>1835.2</v>
      </c>
      <c r="G58" s="1" t="s">
        <v>64</v>
      </c>
      <c r="H58" s="4">
        <v>1.1900000000000001E-2</v>
      </c>
      <c r="I58" s="1">
        <f t="shared" si="0"/>
        <v>1.1296395911780528</v>
      </c>
      <c r="J58" s="1">
        <f t="shared" si="1"/>
        <v>171.25</v>
      </c>
    </row>
    <row r="59" spans="1:10" x14ac:dyDescent="0.35">
      <c r="A59" s="3">
        <v>45597</v>
      </c>
      <c r="B59" s="3" t="s">
        <v>232</v>
      </c>
      <c r="C59" s="5">
        <v>1857.85</v>
      </c>
      <c r="D59" s="5">
        <v>1764.5</v>
      </c>
      <c r="E59" s="5">
        <v>1941.4</v>
      </c>
      <c r="F59" s="5">
        <v>1718</v>
      </c>
      <c r="G59" s="1" t="s">
        <v>65</v>
      </c>
      <c r="H59" s="4">
        <v>5.7200000000000001E-2</v>
      </c>
      <c r="I59" s="1">
        <f t="shared" si="0"/>
        <v>5.2904505525644607</v>
      </c>
      <c r="J59" s="1">
        <f t="shared" si="1"/>
        <v>223.40000000000009</v>
      </c>
    </row>
    <row r="60" spans="1:10" x14ac:dyDescent="0.35">
      <c r="A60" s="3">
        <v>45566</v>
      </c>
      <c r="B60" s="3" t="s">
        <v>232</v>
      </c>
      <c r="C60" s="5">
        <v>1757.25</v>
      </c>
      <c r="D60" s="5">
        <v>1875</v>
      </c>
      <c r="E60" s="5">
        <v>1991.45</v>
      </c>
      <c r="F60" s="5">
        <v>1746.5</v>
      </c>
      <c r="G60" s="1" t="s">
        <v>66</v>
      </c>
      <c r="H60" s="4">
        <v>-6.3100000000000003E-2</v>
      </c>
      <c r="I60" s="1">
        <f t="shared" si="0"/>
        <v>-6.2799999999999994</v>
      </c>
      <c r="J60" s="1">
        <f t="shared" si="1"/>
        <v>244.95000000000005</v>
      </c>
    </row>
    <row r="61" spans="1:10" x14ac:dyDescent="0.35">
      <c r="A61" s="3">
        <v>45536</v>
      </c>
      <c r="B61" s="3" t="s">
        <v>232</v>
      </c>
      <c r="C61" s="5">
        <v>1875.6</v>
      </c>
      <c r="D61" s="5">
        <v>1943.35</v>
      </c>
      <c r="E61" s="5">
        <v>1975.75</v>
      </c>
      <c r="F61" s="5">
        <v>1867.4</v>
      </c>
      <c r="G61" s="1" t="s">
        <v>67</v>
      </c>
      <c r="H61" s="4">
        <v>-3.5000000000000003E-2</v>
      </c>
      <c r="I61" s="1">
        <f t="shared" si="0"/>
        <v>-3.4862479738595726</v>
      </c>
      <c r="J61" s="1">
        <f t="shared" si="1"/>
        <v>108.34999999999991</v>
      </c>
    </row>
    <row r="62" spans="1:10" x14ac:dyDescent="0.35">
      <c r="A62" s="3">
        <v>45505</v>
      </c>
      <c r="B62" s="3" t="s">
        <v>232</v>
      </c>
      <c r="C62" s="5">
        <v>1943.7</v>
      </c>
      <c r="D62" s="5">
        <v>1856.1</v>
      </c>
      <c r="E62" s="5">
        <v>1951</v>
      </c>
      <c r="F62" s="5">
        <v>1718.55</v>
      </c>
      <c r="G62" s="1" t="s">
        <v>68</v>
      </c>
      <c r="H62" s="4">
        <v>4.0399999999999998E-2</v>
      </c>
      <c r="I62" s="1">
        <f t="shared" si="0"/>
        <v>4.7195732988524401</v>
      </c>
      <c r="J62" s="1">
        <f t="shared" si="1"/>
        <v>232.45000000000005</v>
      </c>
    </row>
    <row r="63" spans="1:10" x14ac:dyDescent="0.35">
      <c r="A63" s="3">
        <v>45474</v>
      </c>
      <c r="B63" s="3" t="s">
        <v>232</v>
      </c>
      <c r="C63" s="5">
        <v>1868.25</v>
      </c>
      <c r="D63" s="5">
        <v>1559.5</v>
      </c>
      <c r="E63" s="5">
        <v>1903</v>
      </c>
      <c r="F63" s="5">
        <v>1559.5</v>
      </c>
      <c r="G63" s="1" t="s">
        <v>69</v>
      </c>
      <c r="H63" s="4">
        <v>0.19239999999999999</v>
      </c>
      <c r="I63" s="1">
        <f t="shared" si="0"/>
        <v>19.798012183392114</v>
      </c>
      <c r="J63" s="1">
        <f t="shared" si="1"/>
        <v>343.5</v>
      </c>
    </row>
    <row r="64" spans="1:10" x14ac:dyDescent="0.35">
      <c r="A64" s="3">
        <v>45444</v>
      </c>
      <c r="B64" s="3" t="s">
        <v>232</v>
      </c>
      <c r="C64" s="5">
        <v>1566.75</v>
      </c>
      <c r="D64" s="5">
        <v>1440</v>
      </c>
      <c r="E64" s="5">
        <v>1588.5</v>
      </c>
      <c r="F64" s="5">
        <v>1358.35</v>
      </c>
      <c r="G64" s="1" t="s">
        <v>70</v>
      </c>
      <c r="H64" s="4">
        <v>0.11360000000000001</v>
      </c>
      <c r="I64" s="1">
        <f t="shared" si="0"/>
        <v>8.8020833333333339</v>
      </c>
      <c r="J64" s="1">
        <f t="shared" si="1"/>
        <v>230.15000000000009</v>
      </c>
    </row>
    <row r="65" spans="1:10" x14ac:dyDescent="0.35">
      <c r="A65" s="3">
        <v>45413</v>
      </c>
      <c r="B65" s="3" t="s">
        <v>232</v>
      </c>
      <c r="C65" s="5">
        <v>1406.9</v>
      </c>
      <c r="D65" s="5">
        <v>1405.08</v>
      </c>
      <c r="E65" s="5">
        <v>1471.31</v>
      </c>
      <c r="F65" s="5">
        <v>1395.34</v>
      </c>
      <c r="G65" s="1" t="s">
        <v>71</v>
      </c>
      <c r="H65" s="4">
        <v>-4.0000000000000001E-3</v>
      </c>
      <c r="I65" s="1">
        <f t="shared" si="0"/>
        <v>0.12952999117489136</v>
      </c>
      <c r="J65" s="1">
        <f t="shared" si="1"/>
        <v>75.970000000000027</v>
      </c>
    </row>
    <row r="66" spans="1:10" x14ac:dyDescent="0.35">
      <c r="A66" s="3">
        <v>45383</v>
      </c>
      <c r="B66" s="3" t="s">
        <v>232</v>
      </c>
      <c r="C66" s="5">
        <v>1412.59</v>
      </c>
      <c r="D66" s="5">
        <v>1516.45</v>
      </c>
      <c r="E66" s="5">
        <v>1521.38</v>
      </c>
      <c r="F66" s="5">
        <v>1371.02</v>
      </c>
      <c r="G66" s="1" t="s">
        <v>72</v>
      </c>
      <c r="H66" s="4">
        <v>-5.1700000000000003E-2</v>
      </c>
      <c r="I66" s="1">
        <f t="shared" si="0"/>
        <v>-6.8488905008407874</v>
      </c>
      <c r="J66" s="1">
        <f t="shared" si="1"/>
        <v>150.36000000000013</v>
      </c>
    </row>
    <row r="67" spans="1:10" x14ac:dyDescent="0.35">
      <c r="A67" s="3">
        <v>45352</v>
      </c>
      <c r="B67" s="3" t="s">
        <v>232</v>
      </c>
      <c r="C67" s="5">
        <v>1489.66</v>
      </c>
      <c r="D67" s="5">
        <v>1659.65</v>
      </c>
      <c r="E67" s="5">
        <v>1662.58</v>
      </c>
      <c r="F67" s="5">
        <v>1473.25</v>
      </c>
      <c r="G67" s="1" t="s">
        <v>73</v>
      </c>
      <c r="H67" s="4">
        <v>-0.1051</v>
      </c>
      <c r="I67" s="1">
        <f t="shared" ref="I67:I130" si="2">((C67-D67)/D67)*100</f>
        <v>-10.242521013466694</v>
      </c>
      <c r="J67" s="1">
        <f t="shared" ref="J67:J130" si="3">(E67-F67)</f>
        <v>189.32999999999993</v>
      </c>
    </row>
    <row r="68" spans="1:10" x14ac:dyDescent="0.35">
      <c r="A68" s="3">
        <v>45323</v>
      </c>
      <c r="B68" s="3" t="s">
        <v>232</v>
      </c>
      <c r="C68" s="5">
        <v>1664.52</v>
      </c>
      <c r="D68" s="5">
        <v>1650.25</v>
      </c>
      <c r="E68" s="5">
        <v>1723.29</v>
      </c>
      <c r="F68" s="5">
        <v>1626.33</v>
      </c>
      <c r="G68" s="1" t="s">
        <v>74</v>
      </c>
      <c r="H68" s="4">
        <v>7.7999999999999996E-3</v>
      </c>
      <c r="I68" s="1">
        <f t="shared" si="2"/>
        <v>0.86471746705044583</v>
      </c>
      <c r="J68" s="1">
        <f t="shared" si="3"/>
        <v>96.960000000000036</v>
      </c>
    </row>
    <row r="69" spans="1:10" x14ac:dyDescent="0.35">
      <c r="A69" s="3">
        <v>45292</v>
      </c>
      <c r="B69" s="3" t="s">
        <v>232</v>
      </c>
      <c r="C69" s="5">
        <v>1651.59</v>
      </c>
      <c r="D69" s="5">
        <v>1530.38</v>
      </c>
      <c r="E69" s="5">
        <v>1680.53</v>
      </c>
      <c r="F69" s="5">
        <v>1478.27</v>
      </c>
      <c r="G69" s="1" t="s">
        <v>75</v>
      </c>
      <c r="H69" s="4">
        <v>7.6499999999999999E-2</v>
      </c>
      <c r="I69" s="1">
        <f t="shared" si="2"/>
        <v>7.9202551000404995</v>
      </c>
      <c r="J69" s="1">
        <f t="shared" si="3"/>
        <v>202.26</v>
      </c>
    </row>
    <row r="70" spans="1:10" x14ac:dyDescent="0.35">
      <c r="A70" s="3">
        <v>45261</v>
      </c>
      <c r="B70" s="3" t="s">
        <v>232</v>
      </c>
      <c r="C70" s="5">
        <v>1534.25</v>
      </c>
      <c r="D70" s="5">
        <v>1451.72</v>
      </c>
      <c r="E70" s="5">
        <v>1584.07</v>
      </c>
      <c r="F70" s="5">
        <v>1425.12</v>
      </c>
      <c r="G70" s="1" t="s">
        <v>76</v>
      </c>
      <c r="H70" s="4">
        <v>6.0299999999999999E-2</v>
      </c>
      <c r="I70" s="1">
        <f t="shared" si="2"/>
        <v>5.6849805747664819</v>
      </c>
      <c r="J70" s="1">
        <f t="shared" si="3"/>
        <v>158.95000000000005</v>
      </c>
    </row>
    <row r="71" spans="1:10" x14ac:dyDescent="0.35">
      <c r="A71" s="3">
        <v>45231</v>
      </c>
      <c r="B71" s="3" t="s">
        <v>232</v>
      </c>
      <c r="C71" s="5">
        <v>1446.99</v>
      </c>
      <c r="D71" s="5">
        <v>1365.35</v>
      </c>
      <c r="E71" s="5">
        <v>1459.67</v>
      </c>
      <c r="F71" s="5">
        <v>1344.07</v>
      </c>
      <c r="G71" s="1" t="s">
        <v>77</v>
      </c>
      <c r="H71" s="4">
        <v>6.3399999999999998E-2</v>
      </c>
      <c r="I71" s="1">
        <f t="shared" si="2"/>
        <v>5.9794191965430183</v>
      </c>
      <c r="J71" s="1">
        <f t="shared" si="3"/>
        <v>115.60000000000014</v>
      </c>
    </row>
    <row r="72" spans="1:10" x14ac:dyDescent="0.35">
      <c r="A72" s="3">
        <v>45200</v>
      </c>
      <c r="B72" s="3" t="s">
        <v>232</v>
      </c>
      <c r="C72" s="5">
        <v>1360.73</v>
      </c>
      <c r="D72" s="5">
        <v>1428</v>
      </c>
      <c r="E72" s="5">
        <v>1509.74</v>
      </c>
      <c r="F72" s="5">
        <v>1345.52</v>
      </c>
      <c r="G72" s="1" t="s">
        <v>78</v>
      </c>
      <c r="H72" s="4">
        <v>-4.6699999999999998E-2</v>
      </c>
      <c r="I72" s="1">
        <f t="shared" si="2"/>
        <v>-4.7107843137254894</v>
      </c>
      <c r="J72" s="1">
        <f t="shared" si="3"/>
        <v>164.22000000000003</v>
      </c>
    </row>
    <row r="73" spans="1:10" x14ac:dyDescent="0.35">
      <c r="A73" s="3">
        <v>45170</v>
      </c>
      <c r="B73" s="3" t="s">
        <v>232</v>
      </c>
      <c r="C73" s="5">
        <v>1427.41</v>
      </c>
      <c r="D73" s="5">
        <v>1422.93</v>
      </c>
      <c r="E73" s="5">
        <v>1509.89</v>
      </c>
      <c r="F73" s="5">
        <v>1408.06</v>
      </c>
      <c r="G73" s="1" t="s">
        <v>79</v>
      </c>
      <c r="H73" s="4">
        <v>0</v>
      </c>
      <c r="I73" s="1">
        <f t="shared" si="2"/>
        <v>0.31484331625589579</v>
      </c>
      <c r="J73" s="1">
        <f t="shared" si="3"/>
        <v>101.83000000000015</v>
      </c>
    </row>
    <row r="74" spans="1:10" x14ac:dyDescent="0.35">
      <c r="A74" s="3">
        <v>45139</v>
      </c>
      <c r="B74" s="3" t="s">
        <v>232</v>
      </c>
      <c r="C74" s="5">
        <v>1427.41</v>
      </c>
      <c r="D74" s="5">
        <v>1354.37</v>
      </c>
      <c r="E74" s="5">
        <v>1436.8</v>
      </c>
      <c r="F74" s="5">
        <v>1340.89</v>
      </c>
      <c r="G74" s="1" t="s">
        <v>80</v>
      </c>
      <c r="H74" s="4">
        <v>5.8799999999999998E-2</v>
      </c>
      <c r="I74" s="1">
        <f t="shared" si="2"/>
        <v>5.3929133102475841</v>
      </c>
      <c r="J74" s="1">
        <f t="shared" si="3"/>
        <v>95.909999999999854</v>
      </c>
    </row>
    <row r="75" spans="1:10" x14ac:dyDescent="0.35">
      <c r="A75" s="3">
        <v>45108</v>
      </c>
      <c r="B75" s="3" t="s">
        <v>232</v>
      </c>
      <c r="C75" s="5">
        <v>1348.1</v>
      </c>
      <c r="D75" s="5">
        <v>1322.55</v>
      </c>
      <c r="E75" s="5">
        <v>1490.4</v>
      </c>
      <c r="F75" s="5">
        <v>1297.69</v>
      </c>
      <c r="G75" s="1" t="s">
        <v>81</v>
      </c>
      <c r="H75" s="4">
        <v>1.5100000000000001E-2</v>
      </c>
      <c r="I75" s="1">
        <f t="shared" si="2"/>
        <v>1.9318740312275495</v>
      </c>
      <c r="J75" s="1">
        <f t="shared" si="3"/>
        <v>192.71000000000004</v>
      </c>
    </row>
    <row r="76" spans="1:10" x14ac:dyDescent="0.35">
      <c r="A76" s="3">
        <v>45078</v>
      </c>
      <c r="B76" s="3" t="s">
        <v>232</v>
      </c>
      <c r="C76" s="5">
        <v>1328.02</v>
      </c>
      <c r="D76" s="5">
        <v>1315.14</v>
      </c>
      <c r="E76" s="5">
        <v>1331.4</v>
      </c>
      <c r="F76" s="5">
        <v>1255.18</v>
      </c>
      <c r="G76" s="1" t="s">
        <v>82</v>
      </c>
      <c r="H76" s="4">
        <v>1.2999999999999999E-2</v>
      </c>
      <c r="I76" s="1">
        <f t="shared" si="2"/>
        <v>0.97936341378103331</v>
      </c>
      <c r="J76" s="1">
        <f t="shared" si="3"/>
        <v>76.220000000000027</v>
      </c>
    </row>
    <row r="77" spans="1:10" x14ac:dyDescent="0.35">
      <c r="A77" s="3">
        <v>45047</v>
      </c>
      <c r="B77" s="3" t="s">
        <v>232</v>
      </c>
      <c r="C77" s="5">
        <v>1310.91</v>
      </c>
      <c r="D77" s="5">
        <v>1247.52</v>
      </c>
      <c r="E77" s="5">
        <v>1325.23</v>
      </c>
      <c r="F77" s="5">
        <v>1232.1099999999999</v>
      </c>
      <c r="G77" s="1" t="s">
        <v>83</v>
      </c>
      <c r="H77" s="4">
        <v>5.2299999999999999E-2</v>
      </c>
      <c r="I77" s="1">
        <f t="shared" si="2"/>
        <v>5.0812812620238637</v>
      </c>
      <c r="J77" s="1">
        <f t="shared" si="3"/>
        <v>93.120000000000118</v>
      </c>
    </row>
    <row r="78" spans="1:10" x14ac:dyDescent="0.35">
      <c r="A78" s="3">
        <v>45017</v>
      </c>
      <c r="B78" s="3" t="s">
        <v>232</v>
      </c>
      <c r="C78" s="5">
        <v>1245.73</v>
      </c>
      <c r="D78" s="5">
        <v>1426.96</v>
      </c>
      <c r="E78" s="5">
        <v>1426.96</v>
      </c>
      <c r="F78" s="5">
        <v>1178.6600000000001</v>
      </c>
      <c r="G78" s="1" t="s">
        <v>84</v>
      </c>
      <c r="H78" s="4">
        <v>-0.1227</v>
      </c>
      <c r="I78" s="1">
        <f t="shared" si="2"/>
        <v>-12.700426080618939</v>
      </c>
      <c r="J78" s="1">
        <f t="shared" si="3"/>
        <v>248.29999999999995</v>
      </c>
    </row>
    <row r="79" spans="1:10" x14ac:dyDescent="0.35">
      <c r="A79" s="3">
        <v>44986</v>
      </c>
      <c r="B79" s="3" t="s">
        <v>232</v>
      </c>
      <c r="C79" s="5">
        <v>1419.95</v>
      </c>
      <c r="D79" s="5">
        <v>1484.04</v>
      </c>
      <c r="E79" s="5">
        <v>1511.88</v>
      </c>
      <c r="F79" s="5">
        <v>1356.9</v>
      </c>
      <c r="G79" s="1" t="s">
        <v>85</v>
      </c>
      <c r="H79" s="4">
        <v>-4.0099999999999997E-2</v>
      </c>
      <c r="I79" s="1">
        <f t="shared" si="2"/>
        <v>-4.318616748874688</v>
      </c>
      <c r="J79" s="1">
        <f t="shared" si="3"/>
        <v>154.98000000000002</v>
      </c>
    </row>
    <row r="80" spans="1:10" x14ac:dyDescent="0.35">
      <c r="A80" s="3">
        <v>44958</v>
      </c>
      <c r="B80" s="3" t="s">
        <v>232</v>
      </c>
      <c r="C80" s="5">
        <v>1479.21</v>
      </c>
      <c r="D80" s="5">
        <v>1533.56</v>
      </c>
      <c r="E80" s="5">
        <v>1610.67</v>
      </c>
      <c r="F80" s="5">
        <v>1473</v>
      </c>
      <c r="G80" s="1" t="s">
        <v>86</v>
      </c>
      <c r="H80" s="4">
        <v>-3.0099999999999998E-2</v>
      </c>
      <c r="I80" s="1">
        <f t="shared" si="2"/>
        <v>-3.5440413156315964</v>
      </c>
      <c r="J80" s="1">
        <f t="shared" si="3"/>
        <v>137.67000000000007</v>
      </c>
    </row>
    <row r="81" spans="1:10" x14ac:dyDescent="0.35">
      <c r="A81" s="3">
        <v>44927</v>
      </c>
      <c r="B81" s="3" t="s">
        <v>232</v>
      </c>
      <c r="C81" s="5">
        <v>1525.16</v>
      </c>
      <c r="D81" s="5">
        <v>1505.52</v>
      </c>
      <c r="E81" s="5">
        <v>1560.01</v>
      </c>
      <c r="F81" s="5">
        <v>1438.39</v>
      </c>
      <c r="G81" s="1" t="s">
        <v>87</v>
      </c>
      <c r="H81" s="4">
        <v>1.6899999999999998E-2</v>
      </c>
      <c r="I81" s="1">
        <f t="shared" si="2"/>
        <v>1.3045326531696755</v>
      </c>
      <c r="J81" s="1">
        <f t="shared" si="3"/>
        <v>121.61999999999989</v>
      </c>
    </row>
    <row r="82" spans="1:10" x14ac:dyDescent="0.35">
      <c r="A82" s="3">
        <v>44896</v>
      </c>
      <c r="B82" s="3" t="s">
        <v>232</v>
      </c>
      <c r="C82" s="5">
        <v>1499.75</v>
      </c>
      <c r="D82" s="5">
        <v>1646.92</v>
      </c>
      <c r="E82" s="5">
        <v>1663.23</v>
      </c>
      <c r="F82" s="5">
        <v>1474.14</v>
      </c>
      <c r="G82" s="1" t="s">
        <v>88</v>
      </c>
      <c r="H82" s="4">
        <v>-7.7499999999999999E-2</v>
      </c>
      <c r="I82" s="1">
        <f t="shared" si="2"/>
        <v>-8.936074612003015</v>
      </c>
      <c r="J82" s="1">
        <f t="shared" si="3"/>
        <v>189.08999999999992</v>
      </c>
    </row>
    <row r="83" spans="1:10" x14ac:dyDescent="0.35">
      <c r="A83" s="3">
        <v>44866</v>
      </c>
      <c r="B83" s="3" t="s">
        <v>232</v>
      </c>
      <c r="C83" s="5">
        <v>1625.79</v>
      </c>
      <c r="D83" s="5">
        <v>1544.35</v>
      </c>
      <c r="E83" s="5">
        <v>1644.23</v>
      </c>
      <c r="F83" s="5">
        <v>1476.68</v>
      </c>
      <c r="G83" s="1" t="s">
        <v>89</v>
      </c>
      <c r="H83" s="4">
        <v>6.3299999999999995E-2</v>
      </c>
      <c r="I83" s="1">
        <f t="shared" si="2"/>
        <v>5.2734160002590125</v>
      </c>
      <c r="J83" s="1">
        <f t="shared" si="3"/>
        <v>167.54999999999995</v>
      </c>
    </row>
    <row r="84" spans="1:10" x14ac:dyDescent="0.35">
      <c r="A84" s="3">
        <v>44835</v>
      </c>
      <c r="B84" s="3" t="s">
        <v>232</v>
      </c>
      <c r="C84" s="5">
        <v>1529.03</v>
      </c>
      <c r="D84" s="5">
        <v>1404.09</v>
      </c>
      <c r="E84" s="5">
        <v>1537.73</v>
      </c>
      <c r="F84" s="5">
        <v>1378.23</v>
      </c>
      <c r="G84" s="1" t="s">
        <v>90</v>
      </c>
      <c r="H84" s="4">
        <v>8.7900000000000006E-2</v>
      </c>
      <c r="I84" s="1">
        <f t="shared" si="2"/>
        <v>8.8982899956555528</v>
      </c>
      <c r="J84" s="1">
        <f t="shared" si="3"/>
        <v>159.5</v>
      </c>
    </row>
    <row r="85" spans="1:10" x14ac:dyDescent="0.35">
      <c r="A85" s="3">
        <v>44805</v>
      </c>
      <c r="B85" s="3" t="s">
        <v>232</v>
      </c>
      <c r="C85" s="5">
        <v>1405.53</v>
      </c>
      <c r="D85" s="5">
        <v>1451.87</v>
      </c>
      <c r="E85" s="5">
        <v>1544.3</v>
      </c>
      <c r="F85" s="5">
        <v>1347.41</v>
      </c>
      <c r="G85" s="1" t="s">
        <v>91</v>
      </c>
      <c r="H85" s="4">
        <v>-5.33E-2</v>
      </c>
      <c r="I85" s="1">
        <f t="shared" si="2"/>
        <v>-3.1917458174629902</v>
      </c>
      <c r="J85" s="1">
        <f t="shared" si="3"/>
        <v>196.88999999999987</v>
      </c>
    </row>
    <row r="86" spans="1:10" x14ac:dyDescent="0.35">
      <c r="A86" s="3">
        <v>44774</v>
      </c>
      <c r="B86" s="3" t="s">
        <v>232</v>
      </c>
      <c r="C86" s="5">
        <v>1484.58</v>
      </c>
      <c r="D86" s="5">
        <v>1555.23</v>
      </c>
      <c r="E86" s="5">
        <v>1622.21</v>
      </c>
      <c r="F86" s="5">
        <v>1441.87</v>
      </c>
      <c r="G86" s="1" t="s">
        <v>92</v>
      </c>
      <c r="H86" s="4">
        <v>-3.6600000000000001E-2</v>
      </c>
      <c r="I86" s="1">
        <f t="shared" si="2"/>
        <v>-4.5427364441272413</v>
      </c>
      <c r="J86" s="1">
        <f t="shared" si="3"/>
        <v>180.34000000000015</v>
      </c>
    </row>
    <row r="87" spans="1:10" x14ac:dyDescent="0.35">
      <c r="A87" s="3">
        <v>44743</v>
      </c>
      <c r="B87" s="3" t="s">
        <v>232</v>
      </c>
      <c r="C87" s="5">
        <v>1541.02</v>
      </c>
      <c r="D87" s="5">
        <v>1445.85</v>
      </c>
      <c r="E87" s="5">
        <v>1546.98</v>
      </c>
      <c r="F87" s="5">
        <v>1402.74</v>
      </c>
      <c r="G87" s="1" t="s">
        <v>93</v>
      </c>
      <c r="H87" s="4">
        <v>6.0100000000000001E-2</v>
      </c>
      <c r="I87" s="1">
        <f t="shared" si="2"/>
        <v>6.5822872358820135</v>
      </c>
      <c r="J87" s="1">
        <f t="shared" si="3"/>
        <v>144.24</v>
      </c>
    </row>
    <row r="88" spans="1:10" x14ac:dyDescent="0.35">
      <c r="A88" s="3">
        <v>44713</v>
      </c>
      <c r="B88" s="3" t="s">
        <v>232</v>
      </c>
      <c r="C88" s="5">
        <v>1453.71</v>
      </c>
      <c r="D88" s="5">
        <v>1504.52</v>
      </c>
      <c r="E88" s="5">
        <v>1546.29</v>
      </c>
      <c r="F88" s="5">
        <v>1359.49</v>
      </c>
      <c r="G88" s="1" t="s">
        <v>94</v>
      </c>
      <c r="H88" s="4">
        <v>-2.7699999999999999E-2</v>
      </c>
      <c r="I88" s="1">
        <f t="shared" si="2"/>
        <v>-3.3771568340733222</v>
      </c>
      <c r="J88" s="1">
        <f t="shared" si="3"/>
        <v>186.79999999999995</v>
      </c>
    </row>
    <row r="89" spans="1:10" x14ac:dyDescent="0.35">
      <c r="A89" s="3">
        <v>44682</v>
      </c>
      <c r="B89" s="3" t="s">
        <v>232</v>
      </c>
      <c r="C89" s="5">
        <v>1495.17</v>
      </c>
      <c r="D89" s="5">
        <v>1542.21</v>
      </c>
      <c r="E89" s="5">
        <v>1580.49</v>
      </c>
      <c r="F89" s="5">
        <v>1391.41</v>
      </c>
      <c r="G89" s="1" t="s">
        <v>95</v>
      </c>
      <c r="H89" s="4">
        <v>-4.0800000000000003E-2</v>
      </c>
      <c r="I89" s="1">
        <f t="shared" si="2"/>
        <v>-3.0501682650222706</v>
      </c>
      <c r="J89" s="1">
        <f t="shared" si="3"/>
        <v>189.07999999999993</v>
      </c>
    </row>
    <row r="90" spans="1:10" x14ac:dyDescent="0.35">
      <c r="A90" s="3">
        <v>44652</v>
      </c>
      <c r="B90" s="3" t="s">
        <v>232</v>
      </c>
      <c r="C90" s="5">
        <v>1558.77</v>
      </c>
      <c r="D90" s="5">
        <v>1876.28</v>
      </c>
      <c r="E90" s="5">
        <v>1899.59</v>
      </c>
      <c r="F90" s="5">
        <v>1541.31</v>
      </c>
      <c r="G90" s="1" t="s">
        <v>96</v>
      </c>
      <c r="H90" s="4">
        <v>-0.1779</v>
      </c>
      <c r="I90" s="1">
        <f t="shared" si="2"/>
        <v>-16.922314366725651</v>
      </c>
      <c r="J90" s="1">
        <f t="shared" si="3"/>
        <v>358.28</v>
      </c>
    </row>
    <row r="91" spans="1:10" x14ac:dyDescent="0.35">
      <c r="A91" s="3">
        <v>44621</v>
      </c>
      <c r="B91" s="3" t="s">
        <v>232</v>
      </c>
      <c r="C91" s="5">
        <v>1896.16</v>
      </c>
      <c r="D91" s="5">
        <v>1700.42</v>
      </c>
      <c r="E91" s="5">
        <v>1912.52</v>
      </c>
      <c r="F91" s="5">
        <v>1671.58</v>
      </c>
      <c r="G91" s="1" t="s">
        <v>97</v>
      </c>
      <c r="H91" s="4">
        <v>0.1115</v>
      </c>
      <c r="I91" s="1">
        <f t="shared" si="2"/>
        <v>11.511273685324802</v>
      </c>
      <c r="J91" s="1">
        <f t="shared" si="3"/>
        <v>240.94000000000005</v>
      </c>
    </row>
    <row r="92" spans="1:10" x14ac:dyDescent="0.35">
      <c r="A92" s="3">
        <v>44593</v>
      </c>
      <c r="B92" s="3" t="s">
        <v>232</v>
      </c>
      <c r="C92" s="5">
        <v>1705.99</v>
      </c>
      <c r="D92" s="5">
        <v>1756.2</v>
      </c>
      <c r="E92" s="5">
        <v>1782.75</v>
      </c>
      <c r="F92" s="5">
        <v>1655.67</v>
      </c>
      <c r="G92" s="1" t="s">
        <v>98</v>
      </c>
      <c r="H92" s="4">
        <v>-1.1900000000000001E-2</v>
      </c>
      <c r="I92" s="1">
        <f t="shared" si="2"/>
        <v>-2.8590137797517388</v>
      </c>
      <c r="J92" s="1">
        <f t="shared" si="3"/>
        <v>127.07999999999993</v>
      </c>
    </row>
    <row r="93" spans="1:10" x14ac:dyDescent="0.35">
      <c r="A93" s="3">
        <v>44562</v>
      </c>
      <c r="B93" s="3" t="s">
        <v>232</v>
      </c>
      <c r="C93" s="5">
        <v>1726.47</v>
      </c>
      <c r="D93" s="5">
        <v>1877.17</v>
      </c>
      <c r="E93" s="5">
        <v>1942.95</v>
      </c>
      <c r="F93" s="5">
        <v>1655.67</v>
      </c>
      <c r="G93" s="1" t="s">
        <v>99</v>
      </c>
      <c r="H93" s="4">
        <v>-8.0299999999999996E-2</v>
      </c>
      <c r="I93" s="1">
        <f t="shared" si="2"/>
        <v>-8.0280422124794271</v>
      </c>
      <c r="J93" s="1">
        <f t="shared" si="3"/>
        <v>287.27999999999997</v>
      </c>
    </row>
    <row r="94" spans="1:10" x14ac:dyDescent="0.35">
      <c r="A94" s="3">
        <v>44531</v>
      </c>
      <c r="B94" s="3" t="s">
        <v>232</v>
      </c>
      <c r="C94" s="5">
        <v>1877.17</v>
      </c>
      <c r="D94" s="5">
        <v>1705.39</v>
      </c>
      <c r="E94" s="5">
        <v>1899.1</v>
      </c>
      <c r="F94" s="5">
        <v>1682.02</v>
      </c>
      <c r="G94" s="1" t="s">
        <v>100</v>
      </c>
      <c r="H94" s="4">
        <v>0.1022</v>
      </c>
      <c r="I94" s="1">
        <f t="shared" si="2"/>
        <v>10.072769278581436</v>
      </c>
      <c r="J94" s="1">
        <f t="shared" si="3"/>
        <v>217.07999999999993</v>
      </c>
    </row>
    <row r="95" spans="1:10" x14ac:dyDescent="0.35">
      <c r="A95" s="3">
        <v>44501</v>
      </c>
      <c r="B95" s="3" t="s">
        <v>232</v>
      </c>
      <c r="C95" s="5">
        <v>1703.05</v>
      </c>
      <c r="D95" s="5">
        <v>1668.1</v>
      </c>
      <c r="E95" s="5">
        <v>1798.81</v>
      </c>
      <c r="F95" s="5">
        <v>1659.8</v>
      </c>
      <c r="G95" s="1" t="s">
        <v>101</v>
      </c>
      <c r="H95" s="4">
        <v>2.69E-2</v>
      </c>
      <c r="I95" s="1">
        <f t="shared" si="2"/>
        <v>2.0951981296085394</v>
      </c>
      <c r="J95" s="1">
        <f t="shared" si="3"/>
        <v>139.01</v>
      </c>
    </row>
    <row r="96" spans="1:10" x14ac:dyDescent="0.35">
      <c r="A96" s="3">
        <v>44470</v>
      </c>
      <c r="B96" s="3" t="s">
        <v>232</v>
      </c>
      <c r="C96" s="5">
        <v>1658.4</v>
      </c>
      <c r="D96" s="5">
        <v>1655.77</v>
      </c>
      <c r="E96" s="5">
        <v>1837.64</v>
      </c>
      <c r="F96" s="5">
        <v>1651.74</v>
      </c>
      <c r="G96" s="1" t="s">
        <v>102</v>
      </c>
      <c r="H96" s="4">
        <v>-4.4000000000000003E-3</v>
      </c>
      <c r="I96" s="1">
        <f t="shared" si="2"/>
        <v>0.15883848602161588</v>
      </c>
      <c r="J96" s="1">
        <f t="shared" si="3"/>
        <v>185.90000000000009</v>
      </c>
    </row>
    <row r="97" spans="1:10" x14ac:dyDescent="0.35">
      <c r="A97" s="3">
        <v>44440</v>
      </c>
      <c r="B97" s="3" t="s">
        <v>232</v>
      </c>
      <c r="C97" s="5">
        <v>1665.81</v>
      </c>
      <c r="D97" s="5">
        <v>1699.92</v>
      </c>
      <c r="E97" s="5">
        <v>1777.98</v>
      </c>
      <c r="F97" s="5">
        <v>1645.72</v>
      </c>
      <c r="G97" s="1" t="s">
        <v>103</v>
      </c>
      <c r="H97" s="4">
        <v>-1.83E-2</v>
      </c>
      <c r="I97" s="1">
        <f t="shared" si="2"/>
        <v>-2.0065650148242344</v>
      </c>
      <c r="J97" s="1">
        <f t="shared" si="3"/>
        <v>132.26</v>
      </c>
    </row>
    <row r="98" spans="1:10" x14ac:dyDescent="0.35">
      <c r="A98" s="3">
        <v>44409</v>
      </c>
      <c r="B98" s="3" t="s">
        <v>232</v>
      </c>
      <c r="C98" s="5">
        <v>1696.89</v>
      </c>
      <c r="D98" s="5">
        <v>1618.33</v>
      </c>
      <c r="E98" s="5">
        <v>1747.15</v>
      </c>
      <c r="F98" s="5">
        <v>1610.13</v>
      </c>
      <c r="G98" s="1" t="s">
        <v>104</v>
      </c>
      <c r="H98" s="4">
        <v>5.96E-2</v>
      </c>
      <c r="I98" s="1">
        <f t="shared" si="2"/>
        <v>4.8543869297362203</v>
      </c>
      <c r="J98" s="1">
        <f t="shared" si="3"/>
        <v>137.01999999999998</v>
      </c>
    </row>
    <row r="99" spans="1:10" x14ac:dyDescent="0.35">
      <c r="A99" s="3">
        <v>44378</v>
      </c>
      <c r="B99" s="3" t="s">
        <v>232</v>
      </c>
      <c r="C99" s="5">
        <v>1601.47</v>
      </c>
      <c r="D99" s="5">
        <v>1568.01</v>
      </c>
      <c r="E99" s="5">
        <v>1614.3</v>
      </c>
      <c r="F99" s="5">
        <v>1525.16</v>
      </c>
      <c r="G99" s="1" t="s">
        <v>105</v>
      </c>
      <c r="H99" s="4">
        <v>1.8800000000000001E-2</v>
      </c>
      <c r="I99" s="1">
        <f t="shared" si="2"/>
        <v>2.1339149622770286</v>
      </c>
      <c r="J99" s="1">
        <f t="shared" si="3"/>
        <v>89.139999999999873</v>
      </c>
    </row>
    <row r="100" spans="1:10" x14ac:dyDescent="0.35">
      <c r="A100" s="3">
        <v>44348</v>
      </c>
      <c r="B100" s="3" t="s">
        <v>232</v>
      </c>
      <c r="C100" s="5">
        <v>1571.94</v>
      </c>
      <c r="D100" s="5">
        <v>1392.15</v>
      </c>
      <c r="E100" s="5">
        <v>1582.08</v>
      </c>
      <c r="F100" s="5">
        <v>1357.35</v>
      </c>
      <c r="G100" s="1" t="s">
        <v>106</v>
      </c>
      <c r="H100" s="4">
        <v>0.13420000000000001</v>
      </c>
      <c r="I100" s="1">
        <f t="shared" si="2"/>
        <v>12.914556621053762</v>
      </c>
      <c r="J100" s="1">
        <f t="shared" si="3"/>
        <v>224.73000000000002</v>
      </c>
    </row>
    <row r="101" spans="1:10" x14ac:dyDescent="0.35">
      <c r="A101" s="3">
        <v>44317</v>
      </c>
      <c r="B101" s="3" t="s">
        <v>232</v>
      </c>
      <c r="C101" s="5">
        <v>1385.94</v>
      </c>
      <c r="D101" s="5">
        <v>1333.29</v>
      </c>
      <c r="E101" s="5">
        <v>1408.31</v>
      </c>
      <c r="F101" s="5">
        <v>1303.95</v>
      </c>
      <c r="G101" s="1" t="s">
        <v>107</v>
      </c>
      <c r="H101" s="4">
        <v>2.9100000000000001E-2</v>
      </c>
      <c r="I101" s="1">
        <f t="shared" si="2"/>
        <v>3.9488783385460096</v>
      </c>
      <c r="J101" s="1">
        <f t="shared" si="3"/>
        <v>104.3599999999999</v>
      </c>
    </row>
    <row r="102" spans="1:10" x14ac:dyDescent="0.35">
      <c r="A102" s="3">
        <v>44287</v>
      </c>
      <c r="B102" s="3" t="s">
        <v>232</v>
      </c>
      <c r="C102" s="5">
        <v>1346.76</v>
      </c>
      <c r="D102" s="5">
        <v>1372.27</v>
      </c>
      <c r="E102" s="5">
        <v>1469.27</v>
      </c>
      <c r="F102" s="5">
        <v>1312.6</v>
      </c>
      <c r="G102" s="1" t="s">
        <v>108</v>
      </c>
      <c r="H102" s="4">
        <v>-0.01</v>
      </c>
      <c r="I102" s="1">
        <f t="shared" si="2"/>
        <v>-1.8589636150320266</v>
      </c>
      <c r="J102" s="1">
        <f t="shared" si="3"/>
        <v>156.67000000000007</v>
      </c>
    </row>
    <row r="103" spans="1:10" x14ac:dyDescent="0.35">
      <c r="A103" s="3">
        <v>44256</v>
      </c>
      <c r="B103" s="3" t="s">
        <v>232</v>
      </c>
      <c r="C103" s="5">
        <v>1360.38</v>
      </c>
      <c r="D103" s="5">
        <v>1256.22</v>
      </c>
      <c r="E103" s="5">
        <v>1398.12</v>
      </c>
      <c r="F103" s="5">
        <v>1251.94</v>
      </c>
      <c r="G103" s="1" t="s">
        <v>109</v>
      </c>
      <c r="H103" s="4">
        <v>9.1600000000000001E-2</v>
      </c>
      <c r="I103" s="1">
        <f t="shared" si="2"/>
        <v>8.2915412905382873</v>
      </c>
      <c r="J103" s="1">
        <f t="shared" si="3"/>
        <v>146.17999999999984</v>
      </c>
    </row>
    <row r="104" spans="1:10" x14ac:dyDescent="0.35">
      <c r="A104" s="3">
        <v>44228</v>
      </c>
      <c r="B104" s="3" t="s">
        <v>232</v>
      </c>
      <c r="C104" s="5">
        <v>1246.28</v>
      </c>
      <c r="D104" s="5">
        <v>1243.54</v>
      </c>
      <c r="E104" s="5">
        <v>1324.54</v>
      </c>
      <c r="F104" s="5">
        <v>1234.05</v>
      </c>
      <c r="G104" s="1" t="s">
        <v>110</v>
      </c>
      <c r="H104" s="4">
        <v>1.15E-2</v>
      </c>
      <c r="I104" s="1">
        <f t="shared" si="2"/>
        <v>0.22033871045563547</v>
      </c>
      <c r="J104" s="1">
        <f t="shared" si="3"/>
        <v>90.490000000000009</v>
      </c>
    </row>
    <row r="105" spans="1:10" x14ac:dyDescent="0.35">
      <c r="A105" s="3">
        <v>44197</v>
      </c>
      <c r="B105" s="3" t="s">
        <v>232</v>
      </c>
      <c r="C105" s="5">
        <v>1232.1099999999999</v>
      </c>
      <c r="D105" s="5">
        <v>1250.8499999999999</v>
      </c>
      <c r="E105" s="5">
        <v>1384.99</v>
      </c>
      <c r="F105" s="5">
        <v>1224.0999999999999</v>
      </c>
      <c r="G105" s="1" t="s">
        <v>111</v>
      </c>
      <c r="H105" s="4">
        <v>-1.3299999999999999E-2</v>
      </c>
      <c r="I105" s="1">
        <f t="shared" si="2"/>
        <v>-1.4981812367590048</v>
      </c>
      <c r="J105" s="1">
        <f t="shared" si="3"/>
        <v>160.8900000000001</v>
      </c>
    </row>
    <row r="106" spans="1:10" x14ac:dyDescent="0.35">
      <c r="A106" s="3">
        <v>44166</v>
      </c>
      <c r="B106" s="3" t="s">
        <v>232</v>
      </c>
      <c r="C106" s="5">
        <v>1248.76</v>
      </c>
      <c r="D106" s="5">
        <v>1098.8599999999999</v>
      </c>
      <c r="E106" s="5">
        <v>1251.8</v>
      </c>
      <c r="F106" s="5">
        <v>1098.8599999999999</v>
      </c>
      <c r="G106" s="1" t="s">
        <v>112</v>
      </c>
      <c r="H106" s="4">
        <v>0.1416</v>
      </c>
      <c r="I106" s="1">
        <f t="shared" si="2"/>
        <v>13.641410188741068</v>
      </c>
      <c r="J106" s="1">
        <f t="shared" si="3"/>
        <v>152.94000000000005</v>
      </c>
    </row>
    <row r="107" spans="1:10" x14ac:dyDescent="0.35">
      <c r="A107" s="3">
        <v>44136</v>
      </c>
      <c r="B107" s="3" t="s">
        <v>232</v>
      </c>
      <c r="C107" s="5">
        <v>1093.8399999999999</v>
      </c>
      <c r="D107" s="5">
        <v>1059.03</v>
      </c>
      <c r="E107" s="5">
        <v>1148.43</v>
      </c>
      <c r="F107" s="5">
        <v>1045.21</v>
      </c>
      <c r="G107" s="1" t="s">
        <v>113</v>
      </c>
      <c r="H107" s="4">
        <v>3.7100000000000001E-2</v>
      </c>
      <c r="I107" s="1">
        <f t="shared" si="2"/>
        <v>3.2869701519314796</v>
      </c>
      <c r="J107" s="1">
        <f t="shared" si="3"/>
        <v>103.22000000000003</v>
      </c>
    </row>
    <row r="108" spans="1:10" x14ac:dyDescent="0.35">
      <c r="A108" s="3">
        <v>44105</v>
      </c>
      <c r="B108" s="3" t="s">
        <v>232</v>
      </c>
      <c r="C108" s="5">
        <v>1054.6600000000001</v>
      </c>
      <c r="D108" s="5">
        <v>1014.88</v>
      </c>
      <c r="E108" s="5">
        <v>1179.3499999999999</v>
      </c>
      <c r="F108" s="5">
        <v>1006.08</v>
      </c>
      <c r="G108" s="1" t="s">
        <v>114</v>
      </c>
      <c r="H108" s="4">
        <v>5.1900000000000002E-2</v>
      </c>
      <c r="I108" s="1">
        <f t="shared" si="2"/>
        <v>3.9196752325398161</v>
      </c>
      <c r="J108" s="1">
        <f t="shared" si="3"/>
        <v>173.26999999999987</v>
      </c>
    </row>
    <row r="109" spans="1:10" x14ac:dyDescent="0.35">
      <c r="A109" s="3">
        <v>44075</v>
      </c>
      <c r="B109" s="3" t="s">
        <v>232</v>
      </c>
      <c r="C109" s="5">
        <v>1002.6</v>
      </c>
      <c r="D109" s="1">
        <v>921.06</v>
      </c>
      <c r="E109" s="5">
        <v>1031.19</v>
      </c>
      <c r="F109" s="1">
        <v>906.99</v>
      </c>
      <c r="G109" s="1" t="s">
        <v>115</v>
      </c>
      <c r="H109" s="4">
        <v>8.5800000000000001E-2</v>
      </c>
      <c r="I109" s="1">
        <f t="shared" si="2"/>
        <v>8.8528434629665913</v>
      </c>
      <c r="J109" s="1">
        <f t="shared" si="3"/>
        <v>124.20000000000005</v>
      </c>
    </row>
    <row r="110" spans="1:10" x14ac:dyDescent="0.35">
      <c r="A110" s="3">
        <v>44044</v>
      </c>
      <c r="B110" s="3" t="s">
        <v>232</v>
      </c>
      <c r="C110" s="1">
        <v>923.4</v>
      </c>
      <c r="D110" s="1">
        <v>954.62</v>
      </c>
      <c r="E110" s="1">
        <v>968.94</v>
      </c>
      <c r="F110" s="1">
        <v>909.47</v>
      </c>
      <c r="G110" s="1" t="s">
        <v>116</v>
      </c>
      <c r="H110" s="4">
        <v>-3.8699999999999998E-2</v>
      </c>
      <c r="I110" s="1">
        <f t="shared" si="2"/>
        <v>-3.270411263120407</v>
      </c>
      <c r="J110" s="1">
        <f t="shared" si="3"/>
        <v>59.470000000000027</v>
      </c>
    </row>
    <row r="111" spans="1:10" x14ac:dyDescent="0.35">
      <c r="A111" s="3">
        <v>44013</v>
      </c>
      <c r="B111" s="3" t="s">
        <v>232</v>
      </c>
      <c r="C111" s="1">
        <v>960.59</v>
      </c>
      <c r="D111" s="1">
        <v>733.12</v>
      </c>
      <c r="E111" s="1">
        <v>980.92</v>
      </c>
      <c r="F111" s="1">
        <v>725.66</v>
      </c>
      <c r="G111" s="1" t="s">
        <v>117</v>
      </c>
      <c r="H111" s="4">
        <v>0.31259999999999999</v>
      </c>
      <c r="I111" s="1">
        <f t="shared" si="2"/>
        <v>31.027662592754258</v>
      </c>
      <c r="J111" s="1">
        <f t="shared" si="3"/>
        <v>255.26</v>
      </c>
    </row>
    <row r="112" spans="1:10" x14ac:dyDescent="0.35">
      <c r="A112" s="3">
        <v>43983</v>
      </c>
      <c r="B112" s="3" t="s">
        <v>232</v>
      </c>
      <c r="C112" s="1">
        <v>731.83</v>
      </c>
      <c r="D112" s="1">
        <v>694.83</v>
      </c>
      <c r="E112" s="1">
        <v>747.39</v>
      </c>
      <c r="F112" s="1">
        <v>671.71</v>
      </c>
      <c r="G112" s="1" t="s">
        <v>118</v>
      </c>
      <c r="H112" s="4">
        <v>6.5100000000000005E-2</v>
      </c>
      <c r="I112" s="1">
        <f t="shared" si="2"/>
        <v>5.3250435358289074</v>
      </c>
      <c r="J112" s="1">
        <f t="shared" si="3"/>
        <v>75.67999999999995</v>
      </c>
    </row>
    <row r="113" spans="1:10" x14ac:dyDescent="0.35">
      <c r="A113" s="3">
        <v>43952</v>
      </c>
      <c r="B113" s="3" t="s">
        <v>232</v>
      </c>
      <c r="C113" s="1">
        <v>687.13</v>
      </c>
      <c r="D113" s="1">
        <v>685.93</v>
      </c>
      <c r="E113" s="1">
        <v>706.02</v>
      </c>
      <c r="F113" s="1">
        <v>643.08000000000004</v>
      </c>
      <c r="G113" s="1" t="s">
        <v>119</v>
      </c>
      <c r="H113" s="4">
        <v>-3.4200000000000001E-2</v>
      </c>
      <c r="I113" s="1">
        <f t="shared" si="2"/>
        <v>0.1749449652296948</v>
      </c>
      <c r="J113" s="1">
        <f t="shared" si="3"/>
        <v>62.939999999999941</v>
      </c>
    </row>
    <row r="114" spans="1:10" x14ac:dyDescent="0.35">
      <c r="A114" s="3">
        <v>45627</v>
      </c>
      <c r="B114" s="3" t="s">
        <v>233</v>
      </c>
      <c r="C114" s="5">
        <v>1215.45</v>
      </c>
      <c r="D114" s="5">
        <v>1288</v>
      </c>
      <c r="E114" s="5">
        <v>1329.95</v>
      </c>
      <c r="F114" s="5">
        <v>1201.5</v>
      </c>
      <c r="G114" s="1" t="s">
        <v>120</v>
      </c>
      <c r="H114" s="4">
        <v>-5.9400000000000001E-2</v>
      </c>
      <c r="I114" s="1">
        <f t="shared" si="2"/>
        <v>-5.6327639751552754</v>
      </c>
      <c r="J114" s="1">
        <f t="shared" si="3"/>
        <v>128.45000000000005</v>
      </c>
    </row>
    <row r="115" spans="1:10" x14ac:dyDescent="0.35">
      <c r="A115" s="3">
        <v>45597</v>
      </c>
      <c r="B115" s="3" t="s">
        <v>233</v>
      </c>
      <c r="C115" s="5">
        <v>1292.2</v>
      </c>
      <c r="D115" s="5">
        <v>1333.05</v>
      </c>
      <c r="E115" s="5">
        <v>1341.95</v>
      </c>
      <c r="F115" s="5">
        <v>1217.25</v>
      </c>
      <c r="G115" s="1" t="s">
        <v>121</v>
      </c>
      <c r="H115" s="4">
        <v>-2.9899999999999999E-2</v>
      </c>
      <c r="I115" s="1">
        <f t="shared" si="2"/>
        <v>-3.0644011852518593</v>
      </c>
      <c r="J115" s="1">
        <f t="shared" si="3"/>
        <v>124.70000000000005</v>
      </c>
    </row>
    <row r="116" spans="1:10" x14ac:dyDescent="0.35">
      <c r="A116" s="3">
        <v>45566</v>
      </c>
      <c r="B116" s="3" t="s">
        <v>233</v>
      </c>
      <c r="C116" s="5">
        <v>1332.05</v>
      </c>
      <c r="D116" s="5">
        <v>1480.65</v>
      </c>
      <c r="E116" s="5">
        <v>1487.95</v>
      </c>
      <c r="F116" s="5">
        <v>1320.3</v>
      </c>
      <c r="G116" s="1" t="s">
        <v>122</v>
      </c>
      <c r="H116" s="4">
        <v>-9.7900000000000001E-2</v>
      </c>
      <c r="I116" s="1">
        <f t="shared" si="2"/>
        <v>-10.036132779522514</v>
      </c>
      <c r="J116" s="1">
        <f t="shared" si="3"/>
        <v>167.65000000000009</v>
      </c>
    </row>
    <row r="117" spans="1:10" x14ac:dyDescent="0.35">
      <c r="A117" s="3">
        <v>45536</v>
      </c>
      <c r="B117" s="3" t="s">
        <v>233</v>
      </c>
      <c r="C117" s="5">
        <v>1476.57</v>
      </c>
      <c r="D117" s="5">
        <v>1510.88</v>
      </c>
      <c r="E117" s="5">
        <v>1533.47</v>
      </c>
      <c r="F117" s="5">
        <v>1445.88</v>
      </c>
      <c r="G117" s="1" t="s">
        <v>123</v>
      </c>
      <c r="H117" s="4">
        <v>-2.1899999999999999E-2</v>
      </c>
      <c r="I117" s="1">
        <f t="shared" si="2"/>
        <v>-2.270862014190417</v>
      </c>
      <c r="J117" s="1">
        <f t="shared" si="3"/>
        <v>87.589999999999918</v>
      </c>
    </row>
    <row r="118" spans="1:10" x14ac:dyDescent="0.35">
      <c r="A118" s="3">
        <v>45505</v>
      </c>
      <c r="B118" s="3" t="s">
        <v>233</v>
      </c>
      <c r="C118" s="5">
        <v>1509.63</v>
      </c>
      <c r="D118" s="5">
        <v>1512</v>
      </c>
      <c r="E118" s="5">
        <v>1539.72</v>
      </c>
      <c r="F118" s="5">
        <v>1433.25</v>
      </c>
      <c r="G118" s="1" t="s">
        <v>124</v>
      </c>
      <c r="H118" s="4">
        <v>2.8E-3</v>
      </c>
      <c r="I118" s="1">
        <f t="shared" si="2"/>
        <v>-0.15674603174602453</v>
      </c>
      <c r="J118" s="1">
        <f t="shared" si="3"/>
        <v>106.47000000000003</v>
      </c>
    </row>
    <row r="119" spans="1:10" x14ac:dyDescent="0.35">
      <c r="A119" s="3">
        <v>45474</v>
      </c>
      <c r="B119" s="3" t="s">
        <v>233</v>
      </c>
      <c r="C119" s="5">
        <v>1505.43</v>
      </c>
      <c r="D119" s="5">
        <v>1562.53</v>
      </c>
      <c r="E119" s="5">
        <v>1608.8</v>
      </c>
      <c r="F119" s="5">
        <v>1463</v>
      </c>
      <c r="G119" s="1" t="s">
        <v>125</v>
      </c>
      <c r="H119" s="4">
        <v>-3.8300000000000001E-2</v>
      </c>
      <c r="I119" s="1">
        <f t="shared" si="2"/>
        <v>-3.6543298368671264</v>
      </c>
      <c r="J119" s="1">
        <f t="shared" si="3"/>
        <v>145.79999999999995</v>
      </c>
    </row>
    <row r="120" spans="1:10" x14ac:dyDescent="0.35">
      <c r="A120" s="3">
        <v>45444</v>
      </c>
      <c r="B120" s="3" t="s">
        <v>233</v>
      </c>
      <c r="C120" s="5">
        <v>1565.4</v>
      </c>
      <c r="D120" s="5">
        <v>1483</v>
      </c>
      <c r="E120" s="5">
        <v>1581</v>
      </c>
      <c r="F120" s="5">
        <v>1359.3</v>
      </c>
      <c r="G120" s="1" t="s">
        <v>126</v>
      </c>
      <c r="H120" s="4">
        <v>9.4399999999999998E-2</v>
      </c>
      <c r="I120" s="1">
        <f t="shared" si="2"/>
        <v>5.5563047875927234</v>
      </c>
      <c r="J120" s="1">
        <f t="shared" si="3"/>
        <v>221.70000000000005</v>
      </c>
    </row>
    <row r="121" spans="1:10" x14ac:dyDescent="0.35">
      <c r="A121" s="3">
        <v>45413</v>
      </c>
      <c r="B121" s="3" t="s">
        <v>233</v>
      </c>
      <c r="C121" s="5">
        <v>1430.4</v>
      </c>
      <c r="D121" s="5">
        <v>1472</v>
      </c>
      <c r="E121" s="5">
        <v>1492.22</v>
      </c>
      <c r="F121" s="5">
        <v>1384</v>
      </c>
      <c r="G121" s="1" t="s">
        <v>127</v>
      </c>
      <c r="H121" s="4">
        <v>-2.4899999999999999E-2</v>
      </c>
      <c r="I121" s="1">
        <f t="shared" si="2"/>
        <v>-2.826086956521733</v>
      </c>
      <c r="J121" s="1">
        <f t="shared" si="3"/>
        <v>108.22000000000003</v>
      </c>
    </row>
    <row r="122" spans="1:10" x14ac:dyDescent="0.35">
      <c r="A122" s="3">
        <v>45383</v>
      </c>
      <c r="B122" s="3" t="s">
        <v>233</v>
      </c>
      <c r="C122" s="5">
        <v>1467</v>
      </c>
      <c r="D122" s="5">
        <v>1492.47</v>
      </c>
      <c r="E122" s="5">
        <v>1494</v>
      </c>
      <c r="F122" s="5">
        <v>1441.5</v>
      </c>
      <c r="G122" s="1" t="s">
        <v>128</v>
      </c>
      <c r="H122" s="4">
        <v>-1.2699999999999999E-2</v>
      </c>
      <c r="I122" s="1">
        <f t="shared" si="2"/>
        <v>-1.7065669661701761</v>
      </c>
      <c r="J122" s="1">
        <f t="shared" si="3"/>
        <v>52.5</v>
      </c>
    </row>
    <row r="123" spans="1:10" x14ac:dyDescent="0.35">
      <c r="A123" s="3">
        <v>45352</v>
      </c>
      <c r="B123" s="3" t="s">
        <v>233</v>
      </c>
      <c r="C123" s="5">
        <v>1485.85</v>
      </c>
      <c r="D123" s="5">
        <v>1463.5</v>
      </c>
      <c r="E123" s="5">
        <v>1512.45</v>
      </c>
      <c r="F123" s="5">
        <v>1412.9</v>
      </c>
      <c r="G123" s="1" t="s">
        <v>129</v>
      </c>
      <c r="H123" s="4">
        <v>1.7100000000000001E-2</v>
      </c>
      <c r="I123" s="1">
        <f t="shared" si="2"/>
        <v>1.5271609156132495</v>
      </c>
      <c r="J123" s="1">
        <f t="shared" si="3"/>
        <v>99.549999999999955</v>
      </c>
    </row>
    <row r="124" spans="1:10" x14ac:dyDescent="0.35">
      <c r="A124" s="3">
        <v>45323</v>
      </c>
      <c r="B124" s="3" t="s">
        <v>233</v>
      </c>
      <c r="C124" s="5">
        <v>1460.8</v>
      </c>
      <c r="D124" s="5">
        <v>1435</v>
      </c>
      <c r="E124" s="5">
        <v>1499.95</v>
      </c>
      <c r="F124" s="5">
        <v>1418.05</v>
      </c>
      <c r="G124" s="1" t="s">
        <v>130</v>
      </c>
      <c r="H124" s="4">
        <v>2.4E-2</v>
      </c>
      <c r="I124" s="1">
        <f t="shared" si="2"/>
        <v>1.797909407665502</v>
      </c>
      <c r="J124" s="1">
        <f t="shared" si="3"/>
        <v>81.900000000000091</v>
      </c>
    </row>
    <row r="125" spans="1:10" x14ac:dyDescent="0.35">
      <c r="A125" s="3">
        <v>45292</v>
      </c>
      <c r="B125" s="3" t="s">
        <v>233</v>
      </c>
      <c r="C125" s="5">
        <v>1426.63</v>
      </c>
      <c r="D125" s="5">
        <v>1290.28</v>
      </c>
      <c r="E125" s="5">
        <v>1459.97</v>
      </c>
      <c r="F125" s="5">
        <v>1284.47</v>
      </c>
      <c r="G125" s="1" t="s">
        <v>131</v>
      </c>
      <c r="H125" s="4">
        <v>0.1038</v>
      </c>
      <c r="I125" s="1">
        <f t="shared" si="2"/>
        <v>10.56747372663299</v>
      </c>
      <c r="J125" s="1">
        <f t="shared" si="3"/>
        <v>175.5</v>
      </c>
    </row>
    <row r="126" spans="1:10" x14ac:dyDescent="0.35">
      <c r="A126" s="3">
        <v>45261</v>
      </c>
      <c r="B126" s="3" t="s">
        <v>233</v>
      </c>
      <c r="C126" s="5">
        <v>1292.47</v>
      </c>
      <c r="D126" s="5">
        <v>1189</v>
      </c>
      <c r="E126" s="5">
        <v>1307</v>
      </c>
      <c r="F126" s="5">
        <v>1188.8</v>
      </c>
      <c r="G126" s="1" t="s">
        <v>132</v>
      </c>
      <c r="H126" s="4">
        <v>8.7300000000000003E-2</v>
      </c>
      <c r="I126" s="1">
        <f t="shared" si="2"/>
        <v>8.7022708158116089</v>
      </c>
      <c r="J126" s="1">
        <f t="shared" si="3"/>
        <v>118.20000000000005</v>
      </c>
    </row>
    <row r="127" spans="1:10" x14ac:dyDescent="0.35">
      <c r="A127" s="3">
        <v>45231</v>
      </c>
      <c r="B127" s="3" t="s">
        <v>233</v>
      </c>
      <c r="C127" s="5">
        <v>1188.72</v>
      </c>
      <c r="D127" s="5">
        <v>1144.57</v>
      </c>
      <c r="E127" s="5">
        <v>1205.97</v>
      </c>
      <c r="F127" s="5">
        <v>1137.5999999999999</v>
      </c>
      <c r="G127" s="1" t="s">
        <v>133</v>
      </c>
      <c r="H127" s="4">
        <v>3.9100000000000003E-2</v>
      </c>
      <c r="I127" s="1">
        <f t="shared" si="2"/>
        <v>3.8573438059708094</v>
      </c>
      <c r="J127" s="1">
        <f t="shared" si="3"/>
        <v>68.370000000000118</v>
      </c>
    </row>
    <row r="128" spans="1:10" x14ac:dyDescent="0.35">
      <c r="A128" s="3">
        <v>45200</v>
      </c>
      <c r="B128" s="3" t="s">
        <v>233</v>
      </c>
      <c r="C128" s="5">
        <v>1143.95</v>
      </c>
      <c r="D128" s="5">
        <v>1164.97</v>
      </c>
      <c r="E128" s="5">
        <v>1183.5</v>
      </c>
      <c r="F128" s="5">
        <v>1110.1500000000001</v>
      </c>
      <c r="G128" s="1" t="s">
        <v>134</v>
      </c>
      <c r="H128" s="4">
        <v>-2.4299999999999999E-2</v>
      </c>
      <c r="I128" s="1">
        <f t="shared" si="2"/>
        <v>-1.8043383091410063</v>
      </c>
      <c r="J128" s="1">
        <f t="shared" si="3"/>
        <v>73.349999999999909</v>
      </c>
    </row>
    <row r="129" spans="1:10" x14ac:dyDescent="0.35">
      <c r="A129" s="3">
        <v>45170</v>
      </c>
      <c r="B129" s="3" t="s">
        <v>233</v>
      </c>
      <c r="C129" s="5">
        <v>1172.5</v>
      </c>
      <c r="D129" s="5">
        <v>1203.28</v>
      </c>
      <c r="E129" s="5">
        <v>1241.5</v>
      </c>
      <c r="F129" s="5">
        <v>1162.5</v>
      </c>
      <c r="G129" s="1" t="s">
        <v>135</v>
      </c>
      <c r="H129" s="4">
        <v>-2.58E-2</v>
      </c>
      <c r="I129" s="1">
        <f t="shared" si="2"/>
        <v>-2.5580081111628195</v>
      </c>
      <c r="J129" s="1">
        <f t="shared" si="3"/>
        <v>79</v>
      </c>
    </row>
    <row r="130" spans="1:10" x14ac:dyDescent="0.35">
      <c r="A130" s="3">
        <v>45139</v>
      </c>
      <c r="B130" s="3" t="s">
        <v>233</v>
      </c>
      <c r="C130" s="5">
        <v>1203.5</v>
      </c>
      <c r="D130" s="5">
        <v>1277.5</v>
      </c>
      <c r="E130" s="5">
        <v>1291.4000000000001</v>
      </c>
      <c r="F130" s="5">
        <v>1199.95</v>
      </c>
      <c r="G130" s="1" t="s">
        <v>136</v>
      </c>
      <c r="H130" s="4">
        <v>-5.5800000000000002E-2</v>
      </c>
      <c r="I130" s="1">
        <f t="shared" si="2"/>
        <v>-5.7925636007827785</v>
      </c>
      <c r="J130" s="1">
        <f t="shared" si="3"/>
        <v>91.450000000000045</v>
      </c>
    </row>
    <row r="131" spans="1:10" x14ac:dyDescent="0.35">
      <c r="A131" s="3">
        <v>45108</v>
      </c>
      <c r="B131" s="3" t="s">
        <v>233</v>
      </c>
      <c r="C131" s="5">
        <v>1274.6300000000001</v>
      </c>
      <c r="D131" s="5">
        <v>1161.17</v>
      </c>
      <c r="E131" s="5">
        <v>1315.47</v>
      </c>
      <c r="F131" s="5">
        <v>1159.95</v>
      </c>
      <c r="G131" s="1" t="s">
        <v>137</v>
      </c>
      <c r="H131" s="4">
        <v>0.1011</v>
      </c>
      <c r="I131" s="1">
        <f t="shared" ref="I131:I194" si="4">((C131-D131)/D131)*100</f>
        <v>9.7711790693869141</v>
      </c>
      <c r="J131" s="1">
        <f t="shared" ref="J131:J194" si="5">(E131-F131)</f>
        <v>155.51999999999998</v>
      </c>
    </row>
    <row r="132" spans="1:10" x14ac:dyDescent="0.35">
      <c r="A132" s="3">
        <v>45078</v>
      </c>
      <c r="B132" s="3" t="s">
        <v>233</v>
      </c>
      <c r="C132" s="5">
        <v>1157.6300000000001</v>
      </c>
      <c r="D132" s="5">
        <v>1125.81</v>
      </c>
      <c r="E132" s="5">
        <v>1172.95</v>
      </c>
      <c r="F132" s="5">
        <v>1112.58</v>
      </c>
      <c r="G132" s="1" t="s">
        <v>138</v>
      </c>
      <c r="H132" s="4">
        <v>3.2500000000000001E-2</v>
      </c>
      <c r="I132" s="1">
        <f t="shared" si="4"/>
        <v>2.8264094296551074</v>
      </c>
      <c r="J132" s="1">
        <f t="shared" si="5"/>
        <v>60.370000000000118</v>
      </c>
    </row>
    <row r="133" spans="1:10" x14ac:dyDescent="0.35">
      <c r="A133" s="3">
        <v>45047</v>
      </c>
      <c r="B133" s="3" t="s">
        <v>233</v>
      </c>
      <c r="C133" s="5">
        <v>1121.1600000000001</v>
      </c>
      <c r="D133" s="5">
        <v>1105.8599999999999</v>
      </c>
      <c r="E133" s="5">
        <v>1151.94</v>
      </c>
      <c r="F133" s="5">
        <v>1095.3499999999999</v>
      </c>
      <c r="G133" s="1" t="s">
        <v>139</v>
      </c>
      <c r="H133" s="4">
        <v>2.0400000000000001E-2</v>
      </c>
      <c r="I133" s="1">
        <f t="shared" si="4"/>
        <v>1.3835386034398733</v>
      </c>
      <c r="J133" s="1">
        <f t="shared" si="5"/>
        <v>56.590000000000146</v>
      </c>
    </row>
    <row r="134" spans="1:10" x14ac:dyDescent="0.35">
      <c r="A134" s="3">
        <v>45017</v>
      </c>
      <c r="B134" s="3" t="s">
        <v>233</v>
      </c>
      <c r="C134" s="5">
        <v>1098.74</v>
      </c>
      <c r="D134" s="5">
        <v>1064.46</v>
      </c>
      <c r="E134" s="5">
        <v>1100.76</v>
      </c>
      <c r="F134" s="5">
        <v>1047.92</v>
      </c>
      <c r="G134" s="1" t="s">
        <v>140</v>
      </c>
      <c r="H134" s="4">
        <v>3.8399999999999997E-2</v>
      </c>
      <c r="I134" s="1">
        <f t="shared" si="4"/>
        <v>3.2204122277962508</v>
      </c>
      <c r="J134" s="1">
        <f t="shared" si="5"/>
        <v>52.839999999999918</v>
      </c>
    </row>
    <row r="135" spans="1:10" x14ac:dyDescent="0.35">
      <c r="A135" s="3">
        <v>44986</v>
      </c>
      <c r="B135" s="3" t="s">
        <v>233</v>
      </c>
      <c r="C135" s="5">
        <v>1058.1300000000001</v>
      </c>
      <c r="D135" s="5">
        <v>1064.01</v>
      </c>
      <c r="E135" s="5">
        <v>1100.5999999999999</v>
      </c>
      <c r="F135" s="1">
        <v>989.57</v>
      </c>
      <c r="G135" s="1" t="s">
        <v>141</v>
      </c>
      <c r="H135" s="4">
        <v>3.7000000000000002E-3</v>
      </c>
      <c r="I135" s="1">
        <f t="shared" si="4"/>
        <v>-0.55262638509035455</v>
      </c>
      <c r="J135" s="1">
        <f t="shared" si="5"/>
        <v>111.02999999999986</v>
      </c>
    </row>
    <row r="136" spans="1:10" x14ac:dyDescent="0.35">
      <c r="A136" s="3">
        <v>44958</v>
      </c>
      <c r="B136" s="3" t="s">
        <v>233</v>
      </c>
      <c r="C136" s="5">
        <v>1054.27</v>
      </c>
      <c r="D136" s="5">
        <v>1080.33</v>
      </c>
      <c r="E136" s="5">
        <v>1118.3900000000001</v>
      </c>
      <c r="F136" s="5">
        <v>1040.8599999999999</v>
      </c>
      <c r="G136" s="1" t="s">
        <v>142</v>
      </c>
      <c r="H136" s="4">
        <v>-1.3299999999999999E-2</v>
      </c>
      <c r="I136" s="1">
        <f t="shared" si="4"/>
        <v>-2.41222589393981</v>
      </c>
      <c r="J136" s="1">
        <f t="shared" si="5"/>
        <v>77.5300000000002</v>
      </c>
    </row>
    <row r="137" spans="1:10" x14ac:dyDescent="0.35">
      <c r="A137" s="3">
        <v>44927</v>
      </c>
      <c r="B137" s="3" t="s">
        <v>233</v>
      </c>
      <c r="C137" s="5">
        <v>1068.48</v>
      </c>
      <c r="D137" s="5">
        <v>1157.52</v>
      </c>
      <c r="E137" s="5">
        <v>1182.94</v>
      </c>
      <c r="F137" s="5">
        <v>1044.49</v>
      </c>
      <c r="G137" s="1" t="s">
        <v>143</v>
      </c>
      <c r="H137" s="4">
        <v>-7.5899999999999995E-2</v>
      </c>
      <c r="I137" s="1">
        <f t="shared" si="4"/>
        <v>-7.6923076923076898</v>
      </c>
      <c r="J137" s="1">
        <f t="shared" si="5"/>
        <v>138.45000000000005</v>
      </c>
    </row>
    <row r="138" spans="1:10" x14ac:dyDescent="0.35">
      <c r="A138" s="3">
        <v>44896</v>
      </c>
      <c r="B138" s="3" t="s">
        <v>233</v>
      </c>
      <c r="C138" s="5">
        <v>1156.25</v>
      </c>
      <c r="D138" s="5">
        <v>1244.58</v>
      </c>
      <c r="E138" s="5">
        <v>1250.58</v>
      </c>
      <c r="F138" s="5">
        <v>1131.31</v>
      </c>
      <c r="G138" s="1" t="s">
        <v>144</v>
      </c>
      <c r="H138" s="4">
        <v>-6.7400000000000002E-2</v>
      </c>
      <c r="I138" s="1">
        <f t="shared" si="4"/>
        <v>-7.0971733436179214</v>
      </c>
      <c r="J138" s="1">
        <f t="shared" si="5"/>
        <v>119.26999999999998</v>
      </c>
    </row>
    <row r="139" spans="1:10" x14ac:dyDescent="0.35">
      <c r="A139" s="3">
        <v>44866</v>
      </c>
      <c r="B139" s="3" t="s">
        <v>233</v>
      </c>
      <c r="C139" s="5">
        <v>1239.8399999999999</v>
      </c>
      <c r="D139" s="5">
        <v>1180.22</v>
      </c>
      <c r="E139" s="5">
        <v>1246.24</v>
      </c>
      <c r="F139" s="5">
        <v>1135.73</v>
      </c>
      <c r="G139" s="1" t="s">
        <v>145</v>
      </c>
      <c r="H139" s="4">
        <v>7.1300000000000002E-2</v>
      </c>
      <c r="I139" s="1">
        <f t="shared" si="4"/>
        <v>5.0516005490501676</v>
      </c>
      <c r="J139" s="1">
        <f t="shared" si="5"/>
        <v>110.50999999999999</v>
      </c>
    </row>
    <row r="140" spans="1:10" x14ac:dyDescent="0.35">
      <c r="A140" s="3">
        <v>44835</v>
      </c>
      <c r="B140" s="3" t="s">
        <v>233</v>
      </c>
      <c r="C140" s="5">
        <v>1157.3399999999999</v>
      </c>
      <c r="D140" s="5">
        <v>1085.57</v>
      </c>
      <c r="E140" s="5">
        <v>1162.49</v>
      </c>
      <c r="F140" s="5">
        <v>1063.5999999999999</v>
      </c>
      <c r="G140" s="1" t="s">
        <v>146</v>
      </c>
      <c r="H140" s="4">
        <v>7.2300000000000003E-2</v>
      </c>
      <c r="I140" s="1">
        <f t="shared" si="4"/>
        <v>6.6112733402728514</v>
      </c>
      <c r="J140" s="1">
        <f t="shared" si="5"/>
        <v>98.8900000000001</v>
      </c>
    </row>
    <row r="141" spans="1:10" x14ac:dyDescent="0.35">
      <c r="A141" s="3">
        <v>44805</v>
      </c>
      <c r="B141" s="3" t="s">
        <v>233</v>
      </c>
      <c r="C141" s="5">
        <v>1079.33</v>
      </c>
      <c r="D141" s="5">
        <v>1172.3399999999999</v>
      </c>
      <c r="E141" s="5">
        <v>1193.7</v>
      </c>
      <c r="F141" s="5">
        <v>1049.03</v>
      </c>
      <c r="G141" s="1" t="s">
        <v>147</v>
      </c>
      <c r="H141" s="4">
        <v>-9.8599999999999993E-2</v>
      </c>
      <c r="I141" s="1">
        <f t="shared" si="4"/>
        <v>-7.9337052390944605</v>
      </c>
      <c r="J141" s="1">
        <f t="shared" si="5"/>
        <v>144.67000000000007</v>
      </c>
    </row>
    <row r="142" spans="1:10" x14ac:dyDescent="0.35">
      <c r="A142" s="3">
        <v>44774</v>
      </c>
      <c r="B142" s="3" t="s">
        <v>233</v>
      </c>
      <c r="C142" s="5">
        <v>1197.44</v>
      </c>
      <c r="D142" s="5">
        <v>1143.52</v>
      </c>
      <c r="E142" s="5">
        <v>1215.1199999999999</v>
      </c>
      <c r="F142" s="5">
        <v>1138.27</v>
      </c>
      <c r="G142" s="1" t="s">
        <v>148</v>
      </c>
      <c r="H142" s="4">
        <v>5.1200000000000002E-2</v>
      </c>
      <c r="I142" s="1">
        <f t="shared" si="4"/>
        <v>4.7152651462152013</v>
      </c>
      <c r="J142" s="1">
        <f t="shared" si="5"/>
        <v>76.849999999999909</v>
      </c>
    </row>
    <row r="143" spans="1:10" x14ac:dyDescent="0.35">
      <c r="A143" s="3">
        <v>44743</v>
      </c>
      <c r="B143" s="3" t="s">
        <v>233</v>
      </c>
      <c r="C143" s="5">
        <v>1139.1099999999999</v>
      </c>
      <c r="D143" s="5">
        <v>1168.82</v>
      </c>
      <c r="E143" s="5">
        <v>1176.58</v>
      </c>
      <c r="F143" s="5">
        <v>1073.54</v>
      </c>
      <c r="G143" s="1" t="s">
        <v>149</v>
      </c>
      <c r="H143" s="4">
        <v>-3.32E-2</v>
      </c>
      <c r="I143" s="1">
        <f t="shared" si="4"/>
        <v>-2.54187984462963</v>
      </c>
      <c r="J143" s="1">
        <f t="shared" si="5"/>
        <v>103.03999999999996</v>
      </c>
    </row>
    <row r="144" spans="1:10" x14ac:dyDescent="0.35">
      <c r="A144" s="3">
        <v>44713</v>
      </c>
      <c r="B144" s="3" t="s">
        <v>233</v>
      </c>
      <c r="C144" s="5">
        <v>1178.24</v>
      </c>
      <c r="D144" s="5">
        <v>1195.79</v>
      </c>
      <c r="E144" s="5">
        <v>1278.8800000000001</v>
      </c>
      <c r="F144" s="5">
        <v>1109.8599999999999</v>
      </c>
      <c r="G144" s="1" t="s">
        <v>150</v>
      </c>
      <c r="H144" s="4">
        <v>-1.41E-2</v>
      </c>
      <c r="I144" s="1">
        <f t="shared" si="4"/>
        <v>-1.4676490019150481</v>
      </c>
      <c r="J144" s="1">
        <f t="shared" si="5"/>
        <v>169.02000000000021</v>
      </c>
    </row>
    <row r="145" spans="1:10" x14ac:dyDescent="0.35">
      <c r="A145" s="3">
        <v>44682</v>
      </c>
      <c r="B145" s="3" t="s">
        <v>233</v>
      </c>
      <c r="C145" s="5">
        <v>1195.04</v>
      </c>
      <c r="D145" s="5">
        <v>1253.75</v>
      </c>
      <c r="E145" s="5">
        <v>1273.5</v>
      </c>
      <c r="F145" s="5">
        <v>1075.81</v>
      </c>
      <c r="G145" s="1" t="s">
        <v>151</v>
      </c>
      <c r="H145" s="4">
        <v>-5.6500000000000002E-2</v>
      </c>
      <c r="I145" s="1">
        <f t="shared" si="4"/>
        <v>-4.6827517447657057</v>
      </c>
      <c r="J145" s="1">
        <f t="shared" si="5"/>
        <v>197.69000000000005</v>
      </c>
    </row>
    <row r="146" spans="1:10" x14ac:dyDescent="0.35">
      <c r="A146" s="3">
        <v>44652</v>
      </c>
      <c r="B146" s="3" t="s">
        <v>233</v>
      </c>
      <c r="C146" s="5">
        <v>1266.58</v>
      </c>
      <c r="D146" s="5">
        <v>1196.56</v>
      </c>
      <c r="E146" s="5">
        <v>1296.49</v>
      </c>
      <c r="F146" s="5">
        <v>1144.72</v>
      </c>
      <c r="G146" s="1" t="s">
        <v>152</v>
      </c>
      <c r="H146" s="4">
        <v>5.8999999999999997E-2</v>
      </c>
      <c r="I146" s="1">
        <f t="shared" si="4"/>
        <v>5.8517750885872823</v>
      </c>
      <c r="J146" s="1">
        <f t="shared" si="5"/>
        <v>151.76999999999998</v>
      </c>
    </row>
    <row r="147" spans="1:10" x14ac:dyDescent="0.35">
      <c r="A147" s="3">
        <v>44621</v>
      </c>
      <c r="B147" s="3" t="s">
        <v>233</v>
      </c>
      <c r="C147" s="5">
        <v>1195.99</v>
      </c>
      <c r="D147" s="5">
        <v>1059.68</v>
      </c>
      <c r="E147" s="5">
        <v>1220.1600000000001</v>
      </c>
      <c r="F147" s="1">
        <v>989.57</v>
      </c>
      <c r="G147" s="1" t="s">
        <v>153</v>
      </c>
      <c r="H147" s="4">
        <v>0.1166</v>
      </c>
      <c r="I147" s="1">
        <f t="shared" si="4"/>
        <v>12.86331722784236</v>
      </c>
      <c r="J147" s="1">
        <f t="shared" si="5"/>
        <v>230.59000000000003</v>
      </c>
    </row>
    <row r="148" spans="1:10" x14ac:dyDescent="0.35">
      <c r="A148" s="3">
        <v>44593</v>
      </c>
      <c r="B148" s="3" t="s">
        <v>233</v>
      </c>
      <c r="C148" s="5">
        <v>1071.07</v>
      </c>
      <c r="D148" s="5">
        <v>1093.06</v>
      </c>
      <c r="E148" s="5">
        <v>1115.03</v>
      </c>
      <c r="F148" s="5">
        <v>1018.16</v>
      </c>
      <c r="G148" s="1" t="s">
        <v>154</v>
      </c>
      <c r="H148" s="4">
        <v>-1.1299999999999999E-2</v>
      </c>
      <c r="I148" s="1">
        <f t="shared" si="4"/>
        <v>-2.0117834336632949</v>
      </c>
      <c r="J148" s="1">
        <f t="shared" si="5"/>
        <v>96.87</v>
      </c>
    </row>
    <row r="149" spans="1:10" x14ac:dyDescent="0.35">
      <c r="A149" s="3">
        <v>44562</v>
      </c>
      <c r="B149" s="3" t="s">
        <v>233</v>
      </c>
      <c r="C149" s="5">
        <v>1083.3499999999999</v>
      </c>
      <c r="D149" s="5">
        <v>1073.54</v>
      </c>
      <c r="E149" s="5">
        <v>1165.3699999999999</v>
      </c>
      <c r="F149" s="5">
        <v>1046.31</v>
      </c>
      <c r="G149" s="1" t="s">
        <v>155</v>
      </c>
      <c r="H149" s="4">
        <v>7.7999999999999996E-3</v>
      </c>
      <c r="I149" s="1">
        <f t="shared" si="4"/>
        <v>0.91379920636398704</v>
      </c>
      <c r="J149" s="1">
        <f t="shared" si="5"/>
        <v>119.05999999999995</v>
      </c>
    </row>
    <row r="150" spans="1:10" x14ac:dyDescent="0.35">
      <c r="A150" s="3">
        <v>44531</v>
      </c>
      <c r="B150" s="3" t="s">
        <v>233</v>
      </c>
      <c r="C150" s="5">
        <v>1074.97</v>
      </c>
      <c r="D150" s="5">
        <v>1104.4100000000001</v>
      </c>
      <c r="E150" s="5">
        <v>1134.1400000000001</v>
      </c>
      <c r="F150" s="5">
        <v>1020.03</v>
      </c>
      <c r="G150" s="1" t="s">
        <v>156</v>
      </c>
      <c r="H150" s="4">
        <v>-1.55E-2</v>
      </c>
      <c r="I150" s="1">
        <f t="shared" si="4"/>
        <v>-2.6656766961545126</v>
      </c>
      <c r="J150" s="1">
        <f t="shared" si="5"/>
        <v>114.11000000000013</v>
      </c>
    </row>
    <row r="151" spans="1:10" x14ac:dyDescent="0.35">
      <c r="A151" s="3">
        <v>44501</v>
      </c>
      <c r="B151" s="3" t="s">
        <v>233</v>
      </c>
      <c r="C151" s="5">
        <v>1091.8800000000001</v>
      </c>
      <c r="D151" s="5">
        <v>1151.28</v>
      </c>
      <c r="E151" s="5">
        <v>1181.21</v>
      </c>
      <c r="F151" s="5">
        <v>1048.1199999999999</v>
      </c>
      <c r="G151" s="1" t="s">
        <v>157</v>
      </c>
      <c r="H151" s="4">
        <v>-5.16E-2</v>
      </c>
      <c r="I151" s="1">
        <f t="shared" si="4"/>
        <v>-5.1594746716697815</v>
      </c>
      <c r="J151" s="1">
        <f t="shared" si="5"/>
        <v>133.09000000000015</v>
      </c>
    </row>
    <row r="152" spans="1:10" x14ac:dyDescent="0.35">
      <c r="A152" s="3">
        <v>44470</v>
      </c>
      <c r="B152" s="3" t="s">
        <v>233</v>
      </c>
      <c r="C152" s="5">
        <v>1151.28</v>
      </c>
      <c r="D152" s="5">
        <v>1135.71</v>
      </c>
      <c r="E152" s="5">
        <v>1248.92</v>
      </c>
      <c r="F152" s="5">
        <v>1132.55</v>
      </c>
      <c r="G152" s="1" t="s">
        <v>158</v>
      </c>
      <c r="H152" s="4">
        <v>6.7000000000000002E-3</v>
      </c>
      <c r="I152" s="1">
        <f t="shared" si="4"/>
        <v>1.3709485696172383</v>
      </c>
      <c r="J152" s="1">
        <f t="shared" si="5"/>
        <v>116.37000000000012</v>
      </c>
    </row>
    <row r="153" spans="1:10" x14ac:dyDescent="0.35">
      <c r="A153" s="3">
        <v>44440</v>
      </c>
      <c r="B153" s="3" t="s">
        <v>233</v>
      </c>
      <c r="C153" s="5">
        <v>1143.56</v>
      </c>
      <c r="D153" s="5">
        <v>1031.78</v>
      </c>
      <c r="E153" s="5">
        <v>1166.5999999999999</v>
      </c>
      <c r="F153" s="5">
        <v>1023.61</v>
      </c>
      <c r="G153" s="1" t="s">
        <v>159</v>
      </c>
      <c r="H153" s="4">
        <v>0.11559999999999999</v>
      </c>
      <c r="I153" s="1">
        <f t="shared" si="4"/>
        <v>10.833704859563083</v>
      </c>
      <c r="J153" s="1">
        <f t="shared" si="5"/>
        <v>142.9899999999999</v>
      </c>
    </row>
    <row r="154" spans="1:10" x14ac:dyDescent="0.35">
      <c r="A154" s="3">
        <v>44409</v>
      </c>
      <c r="B154" s="3" t="s">
        <v>233</v>
      </c>
      <c r="C154" s="5">
        <v>1025.04</v>
      </c>
      <c r="D154" s="1">
        <v>932.51</v>
      </c>
      <c r="E154" s="5">
        <v>1036.6600000000001</v>
      </c>
      <c r="F154" s="1">
        <v>926.54</v>
      </c>
      <c r="G154" s="1" t="s">
        <v>160</v>
      </c>
      <c r="H154" s="4">
        <v>0.1095</v>
      </c>
      <c r="I154" s="1">
        <f t="shared" si="4"/>
        <v>9.9226817942971106</v>
      </c>
      <c r="J154" s="1">
        <f t="shared" si="5"/>
        <v>110.12000000000012</v>
      </c>
    </row>
    <row r="155" spans="1:10" x14ac:dyDescent="0.35">
      <c r="A155" s="3">
        <v>44378</v>
      </c>
      <c r="B155" s="3" t="s">
        <v>233</v>
      </c>
      <c r="C155" s="1">
        <v>923.88</v>
      </c>
      <c r="D155" s="1">
        <v>961.42</v>
      </c>
      <c r="E155" s="1">
        <v>977.56</v>
      </c>
      <c r="F155" s="1">
        <v>915.23</v>
      </c>
      <c r="G155" s="1" t="s">
        <v>161</v>
      </c>
      <c r="H155" s="4">
        <v>-3.5700000000000003E-2</v>
      </c>
      <c r="I155" s="1">
        <f t="shared" si="4"/>
        <v>-3.9046410517775758</v>
      </c>
      <c r="J155" s="1">
        <f t="shared" si="5"/>
        <v>62.329999999999927</v>
      </c>
    </row>
    <row r="156" spans="1:10" x14ac:dyDescent="0.35">
      <c r="A156" s="3">
        <v>44348</v>
      </c>
      <c r="B156" s="3" t="s">
        <v>233</v>
      </c>
      <c r="C156" s="1">
        <v>958.09</v>
      </c>
      <c r="D156" s="1">
        <v>983.21</v>
      </c>
      <c r="E156" s="5">
        <v>1032.6400000000001</v>
      </c>
      <c r="F156" s="1">
        <v>944.63</v>
      </c>
      <c r="G156" s="1" t="s">
        <v>162</v>
      </c>
      <c r="H156" s="4">
        <v>-2.3E-2</v>
      </c>
      <c r="I156" s="1">
        <f t="shared" si="4"/>
        <v>-2.5548967158592775</v>
      </c>
      <c r="J156" s="1">
        <f t="shared" si="5"/>
        <v>88.010000000000105</v>
      </c>
    </row>
    <row r="157" spans="1:10" x14ac:dyDescent="0.35">
      <c r="A157" s="3">
        <v>44317</v>
      </c>
      <c r="B157" s="3" t="s">
        <v>233</v>
      </c>
      <c r="C157" s="1">
        <v>980.62</v>
      </c>
      <c r="D157" s="1">
        <v>892.42</v>
      </c>
      <c r="E157" s="1">
        <v>994.88</v>
      </c>
      <c r="F157" s="1">
        <v>865.19</v>
      </c>
      <c r="G157" s="1" t="s">
        <v>163</v>
      </c>
      <c r="H157" s="4">
        <v>8.3099999999999993E-2</v>
      </c>
      <c r="I157" s="1">
        <f t="shared" si="4"/>
        <v>9.8832388337330013</v>
      </c>
      <c r="J157" s="1">
        <f t="shared" si="5"/>
        <v>129.68999999999994</v>
      </c>
    </row>
    <row r="158" spans="1:10" x14ac:dyDescent="0.35">
      <c r="A158" s="3">
        <v>44287</v>
      </c>
      <c r="B158" s="3" t="s">
        <v>233</v>
      </c>
      <c r="C158" s="1">
        <v>905.36</v>
      </c>
      <c r="D158" s="1">
        <v>916.03</v>
      </c>
      <c r="E158" s="1">
        <v>929.15</v>
      </c>
      <c r="F158" s="1">
        <v>851.89</v>
      </c>
      <c r="G158" s="1" t="s">
        <v>164</v>
      </c>
      <c r="H158" s="4">
        <v>-4.3E-3</v>
      </c>
      <c r="I158" s="1">
        <f t="shared" si="4"/>
        <v>-1.1648090128052531</v>
      </c>
      <c r="J158" s="1">
        <f t="shared" si="5"/>
        <v>77.259999999999991</v>
      </c>
    </row>
    <row r="159" spans="1:10" x14ac:dyDescent="0.35">
      <c r="A159" s="3">
        <v>44256</v>
      </c>
      <c r="B159" s="3" t="s">
        <v>233</v>
      </c>
      <c r="C159" s="1">
        <v>909.27</v>
      </c>
      <c r="D159" s="1">
        <v>957.88</v>
      </c>
      <c r="E159" s="5">
        <v>1013.13</v>
      </c>
      <c r="F159" s="1">
        <v>895.92</v>
      </c>
      <c r="G159" s="1" t="s">
        <v>165</v>
      </c>
      <c r="H159" s="4">
        <v>-3.9600000000000003E-2</v>
      </c>
      <c r="I159" s="1">
        <f t="shared" si="4"/>
        <v>-5.0747484027226806</v>
      </c>
      <c r="J159" s="1">
        <f t="shared" si="5"/>
        <v>117.21000000000004</v>
      </c>
    </row>
    <row r="160" spans="1:10" x14ac:dyDescent="0.35">
      <c r="A160" s="3">
        <v>44228</v>
      </c>
      <c r="B160" s="3" t="s">
        <v>233</v>
      </c>
      <c r="C160" s="1">
        <v>946.81</v>
      </c>
      <c r="D160" s="1">
        <v>844.04</v>
      </c>
      <c r="E160" s="1">
        <v>976.86</v>
      </c>
      <c r="F160" s="1">
        <v>838.86</v>
      </c>
      <c r="G160" s="1" t="s">
        <v>166</v>
      </c>
      <c r="H160" s="4">
        <v>0.13239999999999999</v>
      </c>
      <c r="I160" s="1">
        <f t="shared" si="4"/>
        <v>12.17596322449173</v>
      </c>
      <c r="J160" s="1">
        <f t="shared" si="5"/>
        <v>138</v>
      </c>
    </row>
    <row r="161" spans="1:10" x14ac:dyDescent="0.35">
      <c r="A161" s="3">
        <v>44197</v>
      </c>
      <c r="B161" s="3" t="s">
        <v>233</v>
      </c>
      <c r="C161" s="1">
        <v>836.11</v>
      </c>
      <c r="D161" s="1">
        <v>902.41</v>
      </c>
      <c r="E161" s="1">
        <v>962.33</v>
      </c>
      <c r="F161" s="1">
        <v>830.69</v>
      </c>
      <c r="G161" s="1" t="s">
        <v>167</v>
      </c>
      <c r="H161" s="4">
        <v>-7.22E-2</v>
      </c>
      <c r="I161" s="1">
        <f t="shared" si="4"/>
        <v>-7.3469930519386928</v>
      </c>
      <c r="J161" s="1">
        <f t="shared" si="5"/>
        <v>131.63999999999999</v>
      </c>
    </row>
    <row r="162" spans="1:10" x14ac:dyDescent="0.35">
      <c r="A162" s="3">
        <v>44166</v>
      </c>
      <c r="B162" s="3" t="s">
        <v>233</v>
      </c>
      <c r="C162" s="1">
        <v>901.19</v>
      </c>
      <c r="D162" s="1">
        <v>880.78</v>
      </c>
      <c r="E162" s="1">
        <v>925.11</v>
      </c>
      <c r="F162" s="1">
        <v>842.15</v>
      </c>
      <c r="G162" s="1" t="s">
        <v>168</v>
      </c>
      <c r="H162" s="4">
        <v>2.8799999999999999E-2</v>
      </c>
      <c r="I162" s="1">
        <f t="shared" si="4"/>
        <v>2.3172642430572994</v>
      </c>
      <c r="J162" s="1">
        <f t="shared" si="5"/>
        <v>82.960000000000036</v>
      </c>
    </row>
    <row r="163" spans="1:10" x14ac:dyDescent="0.35">
      <c r="A163" s="3">
        <v>44136</v>
      </c>
      <c r="B163" s="3" t="s">
        <v>233</v>
      </c>
      <c r="C163" s="1">
        <v>875.99</v>
      </c>
      <c r="D163" s="1">
        <v>920.11</v>
      </c>
      <c r="E163" s="1">
        <v>950.98</v>
      </c>
      <c r="F163" s="1">
        <v>833.01</v>
      </c>
      <c r="G163" s="1" t="s">
        <v>169</v>
      </c>
      <c r="H163" s="4">
        <v>-6.0699999999999997E-2</v>
      </c>
      <c r="I163" s="1">
        <f t="shared" si="4"/>
        <v>-4.7950788492680223</v>
      </c>
      <c r="J163" s="1">
        <f t="shared" si="5"/>
        <v>117.97000000000003</v>
      </c>
    </row>
    <row r="164" spans="1:10" x14ac:dyDescent="0.35">
      <c r="A164" s="3">
        <v>44105</v>
      </c>
      <c r="B164" s="3" t="s">
        <v>233</v>
      </c>
      <c r="C164" s="1">
        <v>932.6</v>
      </c>
      <c r="D164" s="5">
        <v>1027.6099999999999</v>
      </c>
      <c r="E164" s="5">
        <v>1048.1199999999999</v>
      </c>
      <c r="F164" s="1">
        <v>903.77</v>
      </c>
      <c r="G164" s="1" t="s">
        <v>170</v>
      </c>
      <c r="H164" s="4">
        <v>-8.0500000000000002E-2</v>
      </c>
      <c r="I164" s="1">
        <f t="shared" si="4"/>
        <v>-9.2457255184359717</v>
      </c>
      <c r="J164" s="1">
        <f t="shared" si="5"/>
        <v>144.34999999999991</v>
      </c>
    </row>
    <row r="165" spans="1:10" x14ac:dyDescent="0.35">
      <c r="A165" s="3">
        <v>44075</v>
      </c>
      <c r="B165" s="3" t="s">
        <v>233</v>
      </c>
      <c r="C165" s="5">
        <v>1014.24</v>
      </c>
      <c r="D165" s="1">
        <v>953.25</v>
      </c>
      <c r="E165" s="5">
        <v>1075.52</v>
      </c>
      <c r="F165" s="1">
        <v>927.95</v>
      </c>
      <c r="G165" s="1" t="s">
        <v>171</v>
      </c>
      <c r="H165" s="4">
        <v>7.3800000000000004E-2</v>
      </c>
      <c r="I165" s="1">
        <f t="shared" si="4"/>
        <v>6.3981117230527156</v>
      </c>
      <c r="J165" s="1">
        <f t="shared" si="5"/>
        <v>147.56999999999994</v>
      </c>
    </row>
    <row r="166" spans="1:10" x14ac:dyDescent="0.35">
      <c r="A166" s="3">
        <v>44044</v>
      </c>
      <c r="B166" s="3" t="s">
        <v>233</v>
      </c>
      <c r="C166" s="1">
        <v>944.49</v>
      </c>
      <c r="D166" s="1">
        <v>931.15</v>
      </c>
      <c r="E166" s="1">
        <v>996.83</v>
      </c>
      <c r="F166" s="1">
        <v>907.97</v>
      </c>
      <c r="G166" s="1" t="s">
        <v>172</v>
      </c>
      <c r="H166" s="4">
        <v>6.6E-3</v>
      </c>
      <c r="I166" s="1">
        <f t="shared" si="4"/>
        <v>1.4326370616979038</v>
      </c>
      <c r="J166" s="1">
        <f t="shared" si="5"/>
        <v>88.860000000000014</v>
      </c>
    </row>
    <row r="167" spans="1:10" x14ac:dyDescent="0.35">
      <c r="A167" s="3">
        <v>44013</v>
      </c>
      <c r="B167" s="3" t="s">
        <v>233</v>
      </c>
      <c r="C167" s="1">
        <v>938.32</v>
      </c>
      <c r="D167" s="1">
        <v>780.76</v>
      </c>
      <c r="E167" s="1">
        <v>998.1</v>
      </c>
      <c r="F167" s="1">
        <v>775.33</v>
      </c>
      <c r="G167" s="1" t="s">
        <v>173</v>
      </c>
      <c r="H167" s="4">
        <v>0.21299999999999999</v>
      </c>
      <c r="I167" s="1">
        <f t="shared" si="4"/>
        <v>20.18033710743379</v>
      </c>
      <c r="J167" s="1">
        <f t="shared" si="5"/>
        <v>222.76999999999998</v>
      </c>
    </row>
    <row r="168" spans="1:10" x14ac:dyDescent="0.35">
      <c r="A168" s="3">
        <v>43983</v>
      </c>
      <c r="B168" s="3" t="s">
        <v>233</v>
      </c>
      <c r="C168" s="1">
        <v>773.54</v>
      </c>
      <c r="D168" s="1">
        <v>671.82</v>
      </c>
      <c r="E168" s="1">
        <v>818.98</v>
      </c>
      <c r="F168" s="1">
        <v>669.98</v>
      </c>
      <c r="G168" s="1" t="s">
        <v>174</v>
      </c>
      <c r="H168" s="4">
        <v>0.16370000000000001</v>
      </c>
      <c r="I168" s="1">
        <f t="shared" si="4"/>
        <v>15.140960376291254</v>
      </c>
      <c r="J168" s="1">
        <f t="shared" si="5"/>
        <v>149</v>
      </c>
    </row>
    <row r="169" spans="1:10" x14ac:dyDescent="0.35">
      <c r="A169" s="3">
        <v>43952</v>
      </c>
      <c r="B169" s="3" t="s">
        <v>233</v>
      </c>
      <c r="C169" s="1">
        <v>664.73</v>
      </c>
      <c r="D169" s="1">
        <v>647.52</v>
      </c>
      <c r="E169" s="1">
        <v>726.21</v>
      </c>
      <c r="F169" s="1">
        <v>632.32000000000005</v>
      </c>
      <c r="G169" s="1" t="s">
        <v>175</v>
      </c>
      <c r="H169" s="4">
        <v>8.3999999999999995E-3</v>
      </c>
      <c r="I169" s="1">
        <f t="shared" si="4"/>
        <v>2.657832962688417</v>
      </c>
      <c r="J169" s="1">
        <f t="shared" si="5"/>
        <v>93.889999999999986</v>
      </c>
    </row>
    <row r="170" spans="1:10" x14ac:dyDescent="0.35">
      <c r="A170" s="3">
        <v>45627</v>
      </c>
      <c r="B170" s="3" t="s">
        <v>231</v>
      </c>
      <c r="C170" s="5">
        <v>4030.55</v>
      </c>
      <c r="D170" s="5">
        <v>4203</v>
      </c>
      <c r="E170" s="5">
        <v>4424.37</v>
      </c>
      <c r="F170" s="5">
        <v>3968.78</v>
      </c>
      <c r="G170" s="1" t="s">
        <v>176</v>
      </c>
      <c r="H170" s="4">
        <v>-4.1200000000000001E-2</v>
      </c>
      <c r="I170" s="1">
        <f t="shared" si="4"/>
        <v>-4.1030216512015185</v>
      </c>
      <c r="J170" s="1">
        <f t="shared" si="5"/>
        <v>455.58999999999969</v>
      </c>
    </row>
    <row r="171" spans="1:10" x14ac:dyDescent="0.35">
      <c r="A171" s="3">
        <v>45597</v>
      </c>
      <c r="B171" s="3" t="s">
        <v>231</v>
      </c>
      <c r="C171" s="5">
        <v>4203.84</v>
      </c>
      <c r="D171" s="5">
        <v>3927.25</v>
      </c>
      <c r="E171" s="5">
        <v>4308.71</v>
      </c>
      <c r="F171" s="5">
        <v>3851.85</v>
      </c>
      <c r="G171" s="1" t="s">
        <v>177</v>
      </c>
      <c r="H171" s="4">
        <v>7.6200000000000004E-2</v>
      </c>
      <c r="I171" s="1">
        <f t="shared" si="4"/>
        <v>7.0428416831115959</v>
      </c>
      <c r="J171" s="1">
        <f t="shared" si="5"/>
        <v>456.86000000000013</v>
      </c>
    </row>
    <row r="172" spans="1:10" x14ac:dyDescent="0.35">
      <c r="A172" s="3">
        <v>45566</v>
      </c>
      <c r="B172" s="3" t="s">
        <v>231</v>
      </c>
      <c r="C172" s="5">
        <v>3906.18</v>
      </c>
      <c r="D172" s="5">
        <v>4188.78</v>
      </c>
      <c r="E172" s="5">
        <v>4230.5600000000004</v>
      </c>
      <c r="F172" s="5">
        <v>3897.86</v>
      </c>
      <c r="G172" s="1" t="s">
        <v>178</v>
      </c>
      <c r="H172" s="4">
        <v>-8.4900000000000003E-2</v>
      </c>
      <c r="I172" s="1">
        <f t="shared" si="4"/>
        <v>-6.7465944738086012</v>
      </c>
      <c r="J172" s="1">
        <f t="shared" si="5"/>
        <v>332.70000000000027</v>
      </c>
    </row>
    <row r="173" spans="1:10" x14ac:dyDescent="0.35">
      <c r="A173" s="3">
        <v>45536</v>
      </c>
      <c r="B173" s="3" t="s">
        <v>231</v>
      </c>
      <c r="C173" s="5">
        <v>4268.5</v>
      </c>
      <c r="D173" s="5">
        <v>4576</v>
      </c>
      <c r="E173" s="5">
        <v>4588</v>
      </c>
      <c r="F173" s="5">
        <v>4227.5</v>
      </c>
      <c r="G173" s="1" t="s">
        <v>179</v>
      </c>
      <c r="H173" s="4">
        <v>-6.2600000000000003E-2</v>
      </c>
      <c r="I173" s="1">
        <f t="shared" si="4"/>
        <v>-6.7198426573426575</v>
      </c>
      <c r="J173" s="1">
        <f t="shared" si="5"/>
        <v>360.5</v>
      </c>
    </row>
    <row r="174" spans="1:10" x14ac:dyDescent="0.35">
      <c r="A174" s="3">
        <v>45505</v>
      </c>
      <c r="B174" s="3" t="s">
        <v>231</v>
      </c>
      <c r="C174" s="5">
        <v>4553.75</v>
      </c>
      <c r="D174" s="5">
        <v>4399.3999999999996</v>
      </c>
      <c r="E174" s="5">
        <v>4592.25</v>
      </c>
      <c r="F174" s="5">
        <v>4110.5</v>
      </c>
      <c r="G174" s="1" t="s">
        <v>180</v>
      </c>
      <c r="H174" s="4">
        <v>3.8399999999999997E-2</v>
      </c>
      <c r="I174" s="1">
        <f t="shared" si="4"/>
        <v>3.508432968132027</v>
      </c>
      <c r="J174" s="1">
        <f t="shared" si="5"/>
        <v>481.75</v>
      </c>
    </row>
    <row r="175" spans="1:10" x14ac:dyDescent="0.35">
      <c r="A175" s="3">
        <v>45474</v>
      </c>
      <c r="B175" s="3" t="s">
        <v>231</v>
      </c>
      <c r="C175" s="5">
        <v>4385.3500000000004</v>
      </c>
      <c r="D175" s="5">
        <v>3884</v>
      </c>
      <c r="E175" s="5">
        <v>4431</v>
      </c>
      <c r="F175" s="5">
        <v>3884</v>
      </c>
      <c r="G175" s="1" t="s">
        <v>181</v>
      </c>
      <c r="H175" s="4">
        <v>0.12330000000000001</v>
      </c>
      <c r="I175" s="1">
        <f t="shared" si="4"/>
        <v>12.908084449021636</v>
      </c>
      <c r="J175" s="1">
        <f t="shared" si="5"/>
        <v>547</v>
      </c>
    </row>
    <row r="176" spans="1:10" x14ac:dyDescent="0.35">
      <c r="A176" s="3">
        <v>45444</v>
      </c>
      <c r="B176" s="3" t="s">
        <v>231</v>
      </c>
      <c r="C176" s="5">
        <v>3904.15</v>
      </c>
      <c r="D176" s="5">
        <v>3732.8</v>
      </c>
      <c r="E176" s="5">
        <v>3960</v>
      </c>
      <c r="F176" s="5">
        <v>3591.5</v>
      </c>
      <c r="G176" s="1" t="s">
        <v>182</v>
      </c>
      <c r="H176" s="4">
        <v>6.3500000000000001E-2</v>
      </c>
      <c r="I176" s="1">
        <f t="shared" si="4"/>
        <v>4.5903879125589349</v>
      </c>
      <c r="J176" s="1">
        <f t="shared" si="5"/>
        <v>368.5</v>
      </c>
    </row>
    <row r="177" spans="1:10" x14ac:dyDescent="0.35">
      <c r="A177" s="3">
        <v>45413</v>
      </c>
      <c r="B177" s="3" t="s">
        <v>231</v>
      </c>
      <c r="C177" s="5">
        <v>3670.95</v>
      </c>
      <c r="D177" s="5">
        <v>3778.05</v>
      </c>
      <c r="E177" s="5">
        <v>3988</v>
      </c>
      <c r="F177" s="5">
        <v>3653.75</v>
      </c>
      <c r="G177" s="1" t="s">
        <v>183</v>
      </c>
      <c r="H177" s="4">
        <v>-3.9199999999999999E-2</v>
      </c>
      <c r="I177" s="1">
        <f t="shared" si="4"/>
        <v>-2.8347957279549068</v>
      </c>
      <c r="J177" s="1">
        <f t="shared" si="5"/>
        <v>334.25</v>
      </c>
    </row>
    <row r="178" spans="1:10" x14ac:dyDescent="0.35">
      <c r="A178" s="3">
        <v>45383</v>
      </c>
      <c r="B178" s="3" t="s">
        <v>231</v>
      </c>
      <c r="C178" s="5">
        <v>3820.65</v>
      </c>
      <c r="D178" s="5">
        <v>3897.7</v>
      </c>
      <c r="E178" s="5">
        <v>4064.2</v>
      </c>
      <c r="F178" s="5">
        <v>3800.9</v>
      </c>
      <c r="G178" s="1" t="s">
        <v>184</v>
      </c>
      <c r="H178" s="4">
        <v>-1.44E-2</v>
      </c>
      <c r="I178" s="1">
        <f t="shared" si="4"/>
        <v>-1.9768068348000034</v>
      </c>
      <c r="J178" s="1">
        <f t="shared" si="5"/>
        <v>263.29999999999973</v>
      </c>
    </row>
    <row r="179" spans="1:10" x14ac:dyDescent="0.35">
      <c r="A179" s="3">
        <v>45352</v>
      </c>
      <c r="B179" s="3" t="s">
        <v>231</v>
      </c>
      <c r="C179" s="5">
        <v>3876.3</v>
      </c>
      <c r="D179" s="5">
        <v>4107.2</v>
      </c>
      <c r="E179" s="5">
        <v>4254.75</v>
      </c>
      <c r="F179" s="5">
        <v>3829.4</v>
      </c>
      <c r="G179" s="1" t="s">
        <v>185</v>
      </c>
      <c r="H179" s="4">
        <v>-5.3400000000000003E-2</v>
      </c>
      <c r="I179" s="1">
        <f t="shared" si="4"/>
        <v>-5.6218348266458813</v>
      </c>
      <c r="J179" s="1">
        <f t="shared" si="5"/>
        <v>425.34999999999991</v>
      </c>
    </row>
    <row r="180" spans="1:10" x14ac:dyDescent="0.35">
      <c r="A180" s="3">
        <v>45323</v>
      </c>
      <c r="B180" s="3" t="s">
        <v>231</v>
      </c>
      <c r="C180" s="5">
        <v>4095.1</v>
      </c>
      <c r="D180" s="5">
        <v>3820</v>
      </c>
      <c r="E180" s="5">
        <v>4184.75</v>
      </c>
      <c r="F180" s="5">
        <v>3805.05</v>
      </c>
      <c r="G180" s="1" t="s">
        <v>186</v>
      </c>
      <c r="H180" s="4">
        <v>7.3200000000000001E-2</v>
      </c>
      <c r="I180" s="1">
        <f t="shared" si="4"/>
        <v>7.2015706806282695</v>
      </c>
      <c r="J180" s="1">
        <f t="shared" si="5"/>
        <v>379.69999999999982</v>
      </c>
    </row>
    <row r="181" spans="1:10" x14ac:dyDescent="0.35">
      <c r="A181" s="3">
        <v>45292</v>
      </c>
      <c r="B181" s="3" t="s">
        <v>231</v>
      </c>
      <c r="C181" s="5">
        <v>3815.95</v>
      </c>
      <c r="D181" s="5">
        <v>3772.52</v>
      </c>
      <c r="E181" s="5">
        <v>3963.55</v>
      </c>
      <c r="F181" s="5">
        <v>3634.16</v>
      </c>
      <c r="G181" s="1" t="s">
        <v>187</v>
      </c>
      <c r="H181" s="4">
        <v>1.06E-2</v>
      </c>
      <c r="I181" s="1">
        <f t="shared" si="4"/>
        <v>1.1512198742485087</v>
      </c>
      <c r="J181" s="1">
        <f t="shared" si="5"/>
        <v>329.39000000000033</v>
      </c>
    </row>
    <row r="182" spans="1:10" x14ac:dyDescent="0.35">
      <c r="A182" s="3">
        <v>45261</v>
      </c>
      <c r="B182" s="3" t="s">
        <v>231</v>
      </c>
      <c r="C182" s="5">
        <v>3775.91</v>
      </c>
      <c r="D182" s="5">
        <v>3483.86</v>
      </c>
      <c r="E182" s="5">
        <v>3910.88</v>
      </c>
      <c r="F182" s="5">
        <v>3473.95</v>
      </c>
      <c r="G182" s="1" t="s">
        <v>188</v>
      </c>
      <c r="H182" s="4">
        <v>8.77E-2</v>
      </c>
      <c r="I182" s="1">
        <f t="shared" si="4"/>
        <v>8.3829430574133212</v>
      </c>
      <c r="J182" s="1">
        <f t="shared" si="5"/>
        <v>436.93000000000029</v>
      </c>
    </row>
    <row r="183" spans="1:10" x14ac:dyDescent="0.35">
      <c r="A183" s="3">
        <v>45231</v>
      </c>
      <c r="B183" s="3" t="s">
        <v>231</v>
      </c>
      <c r="C183" s="5">
        <v>3471.51</v>
      </c>
      <c r="D183" s="5">
        <v>3339.53</v>
      </c>
      <c r="E183" s="5">
        <v>3527.66</v>
      </c>
      <c r="F183" s="5">
        <v>3295.73</v>
      </c>
      <c r="G183" s="1" t="s">
        <v>189</v>
      </c>
      <c r="H183" s="4">
        <v>3.5299999999999998E-2</v>
      </c>
      <c r="I183" s="1">
        <f t="shared" si="4"/>
        <v>3.9520531332253346</v>
      </c>
      <c r="J183" s="1">
        <f t="shared" si="5"/>
        <v>231.92999999999984</v>
      </c>
    </row>
    <row r="184" spans="1:10" x14ac:dyDescent="0.35">
      <c r="A184" s="3">
        <v>45200</v>
      </c>
      <c r="B184" s="3" t="s">
        <v>231</v>
      </c>
      <c r="C184" s="5">
        <v>3353.21</v>
      </c>
      <c r="D184" s="5">
        <v>3517.9</v>
      </c>
      <c r="E184" s="5">
        <v>3662.03</v>
      </c>
      <c r="F184" s="5">
        <v>3314.64</v>
      </c>
      <c r="G184" s="1" t="s">
        <v>190</v>
      </c>
      <c r="H184" s="4">
        <v>-4.53E-2</v>
      </c>
      <c r="I184" s="1">
        <f t="shared" si="4"/>
        <v>-4.6814861138747563</v>
      </c>
      <c r="J184" s="1">
        <f t="shared" si="5"/>
        <v>347.39000000000033</v>
      </c>
    </row>
    <row r="185" spans="1:10" x14ac:dyDescent="0.35">
      <c r="A185" s="3">
        <v>45170</v>
      </c>
      <c r="B185" s="3" t="s">
        <v>231</v>
      </c>
      <c r="C185" s="5">
        <v>3512.33</v>
      </c>
      <c r="D185" s="5">
        <v>3350.48</v>
      </c>
      <c r="E185" s="5">
        <v>3616.99</v>
      </c>
      <c r="F185" s="5">
        <v>3341.32</v>
      </c>
      <c r="G185" s="1" t="s">
        <v>191</v>
      </c>
      <c r="H185" s="4">
        <v>5.1200000000000002E-2</v>
      </c>
      <c r="I185" s="1">
        <f t="shared" si="4"/>
        <v>4.8306511305842719</v>
      </c>
      <c r="J185" s="1">
        <f t="shared" si="5"/>
        <v>275.66999999999962</v>
      </c>
    </row>
    <row r="186" spans="1:10" x14ac:dyDescent="0.35">
      <c r="A186" s="3">
        <v>45139</v>
      </c>
      <c r="B186" s="3" t="s">
        <v>231</v>
      </c>
      <c r="C186" s="5">
        <v>3341.32</v>
      </c>
      <c r="D186" s="5">
        <v>3399.25</v>
      </c>
      <c r="E186" s="5">
        <v>3473.85</v>
      </c>
      <c r="F186" s="5">
        <v>3328.23</v>
      </c>
      <c r="G186" s="1" t="s">
        <v>192</v>
      </c>
      <c r="H186" s="4">
        <v>-1.89E-2</v>
      </c>
      <c r="I186" s="1">
        <f t="shared" si="4"/>
        <v>-1.7041994557622957</v>
      </c>
      <c r="J186" s="1">
        <f t="shared" si="5"/>
        <v>145.61999999999989</v>
      </c>
    </row>
    <row r="187" spans="1:10" x14ac:dyDescent="0.35">
      <c r="A187" s="3">
        <v>45108</v>
      </c>
      <c r="B187" s="3" t="s">
        <v>231</v>
      </c>
      <c r="C187" s="5">
        <v>3405.67</v>
      </c>
      <c r="D187" s="5">
        <v>3299.01</v>
      </c>
      <c r="E187" s="5">
        <v>3533.53</v>
      </c>
      <c r="F187" s="5">
        <v>3235.11</v>
      </c>
      <c r="G187" s="1" t="s">
        <v>193</v>
      </c>
      <c r="H187" s="4">
        <v>3.61E-2</v>
      </c>
      <c r="I187" s="1">
        <f t="shared" si="4"/>
        <v>3.2330911394630464</v>
      </c>
      <c r="J187" s="1">
        <f t="shared" si="5"/>
        <v>298.42000000000007</v>
      </c>
    </row>
    <row r="188" spans="1:10" x14ac:dyDescent="0.35">
      <c r="A188" s="3">
        <v>45078</v>
      </c>
      <c r="B188" s="3" t="s">
        <v>231</v>
      </c>
      <c r="C188" s="5">
        <v>3287.02</v>
      </c>
      <c r="D188" s="5">
        <v>3298.72</v>
      </c>
      <c r="E188" s="5">
        <v>3324.6</v>
      </c>
      <c r="F188" s="5">
        <v>3141.45</v>
      </c>
      <c r="G188" s="1" t="s">
        <v>194</v>
      </c>
      <c r="H188" s="4">
        <v>3.8999999999999998E-3</v>
      </c>
      <c r="I188" s="1">
        <f t="shared" si="4"/>
        <v>-0.35468302856865142</v>
      </c>
      <c r="J188" s="1">
        <f t="shared" si="5"/>
        <v>183.15000000000009</v>
      </c>
    </row>
    <row r="189" spans="1:10" x14ac:dyDescent="0.35">
      <c r="A189" s="3">
        <v>45047</v>
      </c>
      <c r="B189" s="3" t="s">
        <v>231</v>
      </c>
      <c r="C189" s="5">
        <v>3274.33</v>
      </c>
      <c r="D189" s="5">
        <v>3220.08</v>
      </c>
      <c r="E189" s="5">
        <v>3356.45</v>
      </c>
      <c r="F189" s="5">
        <v>3158.51</v>
      </c>
      <c r="G189" s="1" t="s">
        <v>195</v>
      </c>
      <c r="H189" s="4">
        <v>2.18E-2</v>
      </c>
      <c r="I189" s="1">
        <f t="shared" si="4"/>
        <v>1.6847407517825645</v>
      </c>
      <c r="J189" s="1">
        <f t="shared" si="5"/>
        <v>197.9399999999996</v>
      </c>
    </row>
    <row r="190" spans="1:10" x14ac:dyDescent="0.35">
      <c r="A190" s="3">
        <v>45017</v>
      </c>
      <c r="B190" s="3" t="s">
        <v>231</v>
      </c>
      <c r="C190" s="5">
        <v>3204.4</v>
      </c>
      <c r="D190" s="5">
        <v>3210.08</v>
      </c>
      <c r="E190" s="5">
        <v>3257.85</v>
      </c>
      <c r="F190" s="5">
        <v>3056.09</v>
      </c>
      <c r="G190" s="1" t="s">
        <v>196</v>
      </c>
      <c r="H190" s="4">
        <v>4.1999999999999997E-3</v>
      </c>
      <c r="I190" s="1">
        <f t="shared" si="4"/>
        <v>-0.17694263071324814</v>
      </c>
      <c r="J190" s="1">
        <f t="shared" si="5"/>
        <v>201.75999999999976</v>
      </c>
    </row>
    <row r="191" spans="1:10" x14ac:dyDescent="0.35">
      <c r="A191" s="3">
        <v>44986</v>
      </c>
      <c r="B191" s="3" t="s">
        <v>231</v>
      </c>
      <c r="C191" s="5">
        <v>3191.11</v>
      </c>
      <c r="D191" s="5">
        <v>3307.67</v>
      </c>
      <c r="E191" s="5">
        <v>3389.25</v>
      </c>
      <c r="F191" s="5">
        <v>3080.78</v>
      </c>
      <c r="G191" s="1" t="s">
        <v>197</v>
      </c>
      <c r="H191" s="4">
        <v>-3.2300000000000002E-2</v>
      </c>
      <c r="I191" s="1">
        <f t="shared" si="4"/>
        <v>-3.5239307427887288</v>
      </c>
      <c r="J191" s="1">
        <f t="shared" si="5"/>
        <v>308.4699999999998</v>
      </c>
    </row>
    <row r="192" spans="1:10" x14ac:dyDescent="0.35">
      <c r="A192" s="3">
        <v>44958</v>
      </c>
      <c r="B192" s="3" t="s">
        <v>231</v>
      </c>
      <c r="C192" s="5">
        <v>3297.57</v>
      </c>
      <c r="D192" s="5">
        <v>3347.49</v>
      </c>
      <c r="E192" s="5">
        <v>3558.51</v>
      </c>
      <c r="F192" s="5">
        <v>3284.68</v>
      </c>
      <c r="G192" s="1" t="s">
        <v>198</v>
      </c>
      <c r="H192" s="4">
        <v>-1.37E-2</v>
      </c>
      <c r="I192" s="1">
        <f t="shared" si="4"/>
        <v>-1.4912665907889082</v>
      </c>
      <c r="J192" s="1">
        <f t="shared" si="5"/>
        <v>273.83000000000038</v>
      </c>
    </row>
    <row r="193" spans="1:10" x14ac:dyDescent="0.35">
      <c r="A193" s="3">
        <v>44927</v>
      </c>
      <c r="B193" s="3" t="s">
        <v>231</v>
      </c>
      <c r="C193" s="5">
        <v>3343.21</v>
      </c>
      <c r="D193" s="5">
        <v>3181.51</v>
      </c>
      <c r="E193" s="5">
        <v>3442.5</v>
      </c>
      <c r="F193" s="5">
        <v>3122</v>
      </c>
      <c r="G193" s="1" t="s">
        <v>199</v>
      </c>
      <c r="H193" s="4">
        <v>5.2200000000000003E-2</v>
      </c>
      <c r="I193" s="1">
        <f t="shared" si="4"/>
        <v>5.0824922756804103</v>
      </c>
      <c r="J193" s="1">
        <f t="shared" si="5"/>
        <v>320.5</v>
      </c>
    </row>
    <row r="194" spans="1:10" x14ac:dyDescent="0.35">
      <c r="A194" s="3">
        <v>44896</v>
      </c>
      <c r="B194" s="3" t="s">
        <v>231</v>
      </c>
      <c r="C194" s="5">
        <v>3177.32</v>
      </c>
      <c r="D194" s="5">
        <v>3341.52</v>
      </c>
      <c r="E194" s="5">
        <v>3395.18</v>
      </c>
      <c r="F194" s="5">
        <v>3086.54</v>
      </c>
      <c r="G194" s="1" t="s">
        <v>200</v>
      </c>
      <c r="H194" s="4">
        <v>-3.95E-2</v>
      </c>
      <c r="I194" s="1">
        <f t="shared" si="4"/>
        <v>-4.9139313845196142</v>
      </c>
      <c r="J194" s="1">
        <f t="shared" si="5"/>
        <v>308.63999999999987</v>
      </c>
    </row>
    <row r="195" spans="1:10" x14ac:dyDescent="0.35">
      <c r="A195" s="3">
        <v>44866</v>
      </c>
      <c r="B195" s="3" t="s">
        <v>231</v>
      </c>
      <c r="C195" s="5">
        <v>3308.15</v>
      </c>
      <c r="D195" s="5">
        <v>3136.15</v>
      </c>
      <c r="E195" s="5">
        <v>3345.42</v>
      </c>
      <c r="F195" s="5">
        <v>3088.98</v>
      </c>
      <c r="G195" s="1" t="s">
        <v>201</v>
      </c>
      <c r="H195" s="4">
        <v>6.1899999999999997E-2</v>
      </c>
      <c r="I195" s="1">
        <f t="shared" ref="I195:I225" si="6">((C195-D195)/D195)*100</f>
        <v>5.4844315482358938</v>
      </c>
      <c r="J195" s="1">
        <f t="shared" ref="J195:J225" si="7">(E195-F195)</f>
        <v>256.44000000000005</v>
      </c>
    </row>
    <row r="196" spans="1:10" x14ac:dyDescent="0.35">
      <c r="A196" s="3">
        <v>44835</v>
      </c>
      <c r="B196" s="3" t="s">
        <v>231</v>
      </c>
      <c r="C196" s="5">
        <v>3115.32</v>
      </c>
      <c r="D196" s="5">
        <v>2922</v>
      </c>
      <c r="E196" s="5">
        <v>3121.03</v>
      </c>
      <c r="F196" s="5">
        <v>2901.51</v>
      </c>
      <c r="G196" s="1" t="s">
        <v>202</v>
      </c>
      <c r="H196" s="4">
        <v>6.2799999999999995E-2</v>
      </c>
      <c r="I196" s="1">
        <f t="shared" si="6"/>
        <v>6.6160164271047286</v>
      </c>
      <c r="J196" s="1">
        <f t="shared" si="7"/>
        <v>219.51999999999998</v>
      </c>
    </row>
    <row r="197" spans="1:10" x14ac:dyDescent="0.35">
      <c r="A197" s="3">
        <v>44805</v>
      </c>
      <c r="B197" s="3" t="s">
        <v>231</v>
      </c>
      <c r="C197" s="5">
        <v>2931.32</v>
      </c>
      <c r="D197" s="5">
        <v>3112.25</v>
      </c>
      <c r="E197" s="5">
        <v>3190.1</v>
      </c>
      <c r="F197" s="5">
        <v>2854.78</v>
      </c>
      <c r="G197" s="1" t="s">
        <v>203</v>
      </c>
      <c r="H197" s="4">
        <v>-6.4299999999999996E-2</v>
      </c>
      <c r="I197" s="1">
        <f t="shared" si="6"/>
        <v>-5.8134789942967249</v>
      </c>
      <c r="J197" s="1">
        <f t="shared" si="7"/>
        <v>335.31999999999971</v>
      </c>
    </row>
    <row r="198" spans="1:10" x14ac:dyDescent="0.35">
      <c r="A198" s="3">
        <v>44774</v>
      </c>
      <c r="B198" s="3" t="s">
        <v>231</v>
      </c>
      <c r="C198" s="5">
        <v>3132.88</v>
      </c>
      <c r="D198" s="5">
        <v>3245.91</v>
      </c>
      <c r="E198" s="5">
        <v>3345.13</v>
      </c>
      <c r="F198" s="5">
        <v>3005.9</v>
      </c>
      <c r="G198" s="1" t="s">
        <v>204</v>
      </c>
      <c r="H198" s="4">
        <v>-2.75E-2</v>
      </c>
      <c r="I198" s="1">
        <f t="shared" si="6"/>
        <v>-3.4822284043611726</v>
      </c>
      <c r="J198" s="1">
        <f t="shared" si="7"/>
        <v>339.23</v>
      </c>
    </row>
    <row r="199" spans="1:10" x14ac:dyDescent="0.35">
      <c r="A199" s="3">
        <v>44743</v>
      </c>
      <c r="B199" s="3" t="s">
        <v>231</v>
      </c>
      <c r="C199" s="5">
        <v>3221.42</v>
      </c>
      <c r="D199" s="5">
        <v>3180.54</v>
      </c>
      <c r="E199" s="5">
        <v>3251.76</v>
      </c>
      <c r="F199" s="5">
        <v>2881.02</v>
      </c>
      <c r="G199" s="1" t="s">
        <v>205</v>
      </c>
      <c r="H199" s="4">
        <v>1.0699999999999999E-2</v>
      </c>
      <c r="I199" s="1">
        <f t="shared" si="6"/>
        <v>1.2853163299313988</v>
      </c>
      <c r="J199" s="1">
        <f t="shared" si="7"/>
        <v>370.74000000000024</v>
      </c>
    </row>
    <row r="200" spans="1:10" x14ac:dyDescent="0.35">
      <c r="A200" s="3">
        <v>44713</v>
      </c>
      <c r="B200" s="3" t="s">
        <v>231</v>
      </c>
      <c r="C200" s="5">
        <v>3187.47</v>
      </c>
      <c r="D200" s="5">
        <v>3305.42</v>
      </c>
      <c r="E200" s="5">
        <v>3392.54</v>
      </c>
      <c r="F200" s="5">
        <v>2950.15</v>
      </c>
      <c r="G200" s="1" t="s">
        <v>206</v>
      </c>
      <c r="H200" s="4">
        <v>-2.8899999999999999E-2</v>
      </c>
      <c r="I200" s="1">
        <f t="shared" si="6"/>
        <v>-3.5683816277507932</v>
      </c>
      <c r="J200" s="1">
        <f t="shared" si="7"/>
        <v>442.38999999999987</v>
      </c>
    </row>
    <row r="201" spans="1:10" x14ac:dyDescent="0.35">
      <c r="A201" s="3">
        <v>44682</v>
      </c>
      <c r="B201" s="3" t="s">
        <v>231</v>
      </c>
      <c r="C201" s="5">
        <v>3282.35</v>
      </c>
      <c r="D201" s="5">
        <v>3434.1</v>
      </c>
      <c r="E201" s="5">
        <v>3461.47</v>
      </c>
      <c r="F201" s="5">
        <v>3077.17</v>
      </c>
      <c r="G201" s="1" t="s">
        <v>207</v>
      </c>
      <c r="H201" s="4">
        <v>-5.1400000000000001E-2</v>
      </c>
      <c r="I201" s="1">
        <f t="shared" si="6"/>
        <v>-4.4189161643516499</v>
      </c>
      <c r="J201" s="1">
        <f t="shared" si="7"/>
        <v>384.29999999999973</v>
      </c>
    </row>
    <row r="202" spans="1:10" x14ac:dyDescent="0.35">
      <c r="A202" s="3">
        <v>44652</v>
      </c>
      <c r="B202" s="3" t="s">
        <v>231</v>
      </c>
      <c r="C202" s="5">
        <v>3460.25</v>
      </c>
      <c r="D202" s="5">
        <v>3656.65</v>
      </c>
      <c r="E202" s="5">
        <v>3742.11</v>
      </c>
      <c r="F202" s="5">
        <v>3355.32</v>
      </c>
      <c r="G202" s="1" t="s">
        <v>208</v>
      </c>
      <c r="H202" s="4">
        <v>-5.1700000000000003E-2</v>
      </c>
      <c r="I202" s="1">
        <f t="shared" si="6"/>
        <v>-5.3710363310680558</v>
      </c>
      <c r="J202" s="1">
        <f t="shared" si="7"/>
        <v>386.78999999999996</v>
      </c>
    </row>
    <row r="203" spans="1:10" x14ac:dyDescent="0.35">
      <c r="A203" s="3">
        <v>44621</v>
      </c>
      <c r="B203" s="3" t="s">
        <v>231</v>
      </c>
      <c r="C203" s="5">
        <v>3648.79</v>
      </c>
      <c r="D203" s="5">
        <v>3465.91</v>
      </c>
      <c r="E203" s="5">
        <v>3687.38</v>
      </c>
      <c r="F203" s="5">
        <v>3347.91</v>
      </c>
      <c r="G203" s="1" t="s">
        <v>209</v>
      </c>
      <c r="H203" s="4">
        <v>5.2299999999999999E-2</v>
      </c>
      <c r="I203" s="1">
        <f t="shared" si="6"/>
        <v>5.2765363209085088</v>
      </c>
      <c r="J203" s="1">
        <f t="shared" si="7"/>
        <v>339.47000000000025</v>
      </c>
    </row>
    <row r="204" spans="1:10" x14ac:dyDescent="0.35">
      <c r="A204" s="3">
        <v>44593</v>
      </c>
      <c r="B204" s="3" t="s">
        <v>231</v>
      </c>
      <c r="C204" s="5">
        <v>3467.57</v>
      </c>
      <c r="D204" s="5">
        <v>3678.11</v>
      </c>
      <c r="E204" s="5">
        <v>3787.87</v>
      </c>
      <c r="F204" s="5">
        <v>3308.44</v>
      </c>
      <c r="G204" s="1" t="s">
        <v>210</v>
      </c>
      <c r="H204" s="4">
        <v>-4.87E-2</v>
      </c>
      <c r="I204" s="1">
        <f t="shared" si="6"/>
        <v>-5.7241354935007376</v>
      </c>
      <c r="J204" s="1">
        <f t="shared" si="7"/>
        <v>479.42999999999984</v>
      </c>
    </row>
    <row r="205" spans="1:10" x14ac:dyDescent="0.35">
      <c r="A205" s="3">
        <v>44562</v>
      </c>
      <c r="B205" s="3" t="s">
        <v>231</v>
      </c>
      <c r="C205" s="5">
        <v>3645.18</v>
      </c>
      <c r="D205" s="5">
        <v>3658.6</v>
      </c>
      <c r="E205" s="5">
        <v>3944.45</v>
      </c>
      <c r="F205" s="5">
        <v>3536.74</v>
      </c>
      <c r="G205" s="1" t="s">
        <v>211</v>
      </c>
      <c r="H205" s="4">
        <v>-5.9999999999999995E-4</v>
      </c>
      <c r="I205" s="1">
        <f t="shared" si="6"/>
        <v>-0.36680697534576268</v>
      </c>
      <c r="J205" s="1">
        <f t="shared" si="7"/>
        <v>407.71000000000004</v>
      </c>
    </row>
    <row r="206" spans="1:10" x14ac:dyDescent="0.35">
      <c r="A206" s="3">
        <v>44531</v>
      </c>
      <c r="B206" s="3" t="s">
        <v>231</v>
      </c>
      <c r="C206" s="5">
        <v>3647.23</v>
      </c>
      <c r="D206" s="5">
        <v>3448.84</v>
      </c>
      <c r="E206" s="5">
        <v>3668.35</v>
      </c>
      <c r="F206" s="5">
        <v>3424.59</v>
      </c>
      <c r="G206" s="1" t="s">
        <v>212</v>
      </c>
      <c r="H206" s="4">
        <v>5.9299999999999999E-2</v>
      </c>
      <c r="I206" s="1">
        <f t="shared" si="6"/>
        <v>5.7523689124459194</v>
      </c>
      <c r="J206" s="1">
        <f t="shared" si="7"/>
        <v>243.75999999999976</v>
      </c>
    </row>
    <row r="207" spans="1:10" x14ac:dyDescent="0.35">
      <c r="A207" s="3">
        <v>44501</v>
      </c>
      <c r="B207" s="3" t="s">
        <v>231</v>
      </c>
      <c r="C207" s="5">
        <v>3443.13</v>
      </c>
      <c r="D207" s="5">
        <v>3354.15</v>
      </c>
      <c r="E207" s="5">
        <v>3488.4</v>
      </c>
      <c r="F207" s="5">
        <v>3323.42</v>
      </c>
      <c r="G207" s="1" t="s">
        <v>213</v>
      </c>
      <c r="H207" s="4">
        <v>3.8699999999999998E-2</v>
      </c>
      <c r="I207" s="1">
        <f t="shared" si="6"/>
        <v>2.6528330575555659</v>
      </c>
      <c r="J207" s="1">
        <f t="shared" si="7"/>
        <v>164.98000000000002</v>
      </c>
    </row>
    <row r="208" spans="1:10" x14ac:dyDescent="0.35">
      <c r="A208" s="3">
        <v>44470</v>
      </c>
      <c r="B208" s="3" t="s">
        <v>231</v>
      </c>
      <c r="C208" s="5">
        <v>3314.93</v>
      </c>
      <c r="D208" s="5">
        <v>3689.57</v>
      </c>
      <c r="E208" s="5">
        <v>3892.65</v>
      </c>
      <c r="F208" s="5">
        <v>3303.42</v>
      </c>
      <c r="G208" s="1" t="s">
        <v>214</v>
      </c>
      <c r="H208" s="4">
        <v>-0.10009999999999999</v>
      </c>
      <c r="I208" s="1">
        <f t="shared" si="6"/>
        <v>-10.154028789262712</v>
      </c>
      <c r="J208" s="1">
        <f t="shared" si="7"/>
        <v>589.23</v>
      </c>
    </row>
    <row r="209" spans="1:10" x14ac:dyDescent="0.35">
      <c r="A209" s="3">
        <v>44440</v>
      </c>
      <c r="B209" s="3" t="s">
        <v>231</v>
      </c>
      <c r="C209" s="5">
        <v>3683.52</v>
      </c>
      <c r="D209" s="5">
        <v>3703.48</v>
      </c>
      <c r="E209" s="5">
        <v>3884.7</v>
      </c>
      <c r="F209" s="5">
        <v>3616.64</v>
      </c>
      <c r="G209" s="1" t="s">
        <v>215</v>
      </c>
      <c r="H209" s="4">
        <v>-2.8999999999999998E-3</v>
      </c>
      <c r="I209" s="1">
        <f t="shared" si="6"/>
        <v>-0.53895255273418607</v>
      </c>
      <c r="J209" s="1">
        <f t="shared" si="7"/>
        <v>268.05999999999995</v>
      </c>
    </row>
    <row r="210" spans="1:10" x14ac:dyDescent="0.35">
      <c r="A210" s="3">
        <v>44409</v>
      </c>
      <c r="B210" s="3" t="s">
        <v>231</v>
      </c>
      <c r="C210" s="5">
        <v>3694.16</v>
      </c>
      <c r="D210" s="5">
        <v>3102.49</v>
      </c>
      <c r="E210" s="5">
        <v>3711.38</v>
      </c>
      <c r="F210" s="5">
        <v>3089.81</v>
      </c>
      <c r="G210" s="1" t="s">
        <v>216</v>
      </c>
      <c r="H210" s="4">
        <v>0.19539999999999999</v>
      </c>
      <c r="I210" s="1">
        <f t="shared" si="6"/>
        <v>19.070810864821485</v>
      </c>
      <c r="J210" s="1">
        <f t="shared" si="7"/>
        <v>621.57000000000016</v>
      </c>
    </row>
    <row r="211" spans="1:10" x14ac:dyDescent="0.35">
      <c r="A211" s="3">
        <v>44378</v>
      </c>
      <c r="B211" s="3" t="s">
        <v>231</v>
      </c>
      <c r="C211" s="5">
        <v>3090.25</v>
      </c>
      <c r="D211" s="5">
        <v>3276.15</v>
      </c>
      <c r="E211" s="5">
        <v>3291.76</v>
      </c>
      <c r="F211" s="5">
        <v>3056.05</v>
      </c>
      <c r="G211" s="1" t="s">
        <v>176</v>
      </c>
      <c r="H211" s="4">
        <v>-5.33E-2</v>
      </c>
      <c r="I211" s="1">
        <f t="shared" si="6"/>
        <v>-5.674343360346751</v>
      </c>
      <c r="J211" s="1">
        <f t="shared" si="7"/>
        <v>235.71000000000004</v>
      </c>
    </row>
    <row r="212" spans="1:10" x14ac:dyDescent="0.35">
      <c r="A212" s="3">
        <v>44348</v>
      </c>
      <c r="B212" s="3" t="s">
        <v>231</v>
      </c>
      <c r="C212" s="5">
        <v>3264.2</v>
      </c>
      <c r="D212" s="5">
        <v>3091.37</v>
      </c>
      <c r="E212" s="5">
        <v>3316.78</v>
      </c>
      <c r="F212" s="5">
        <v>3039.07</v>
      </c>
      <c r="G212" s="1" t="s">
        <v>217</v>
      </c>
      <c r="H212" s="4">
        <v>5.91E-2</v>
      </c>
      <c r="I212" s="1">
        <f t="shared" si="6"/>
        <v>5.5907251477500246</v>
      </c>
      <c r="J212" s="1">
        <f t="shared" si="7"/>
        <v>277.71000000000004</v>
      </c>
    </row>
    <row r="213" spans="1:10" x14ac:dyDescent="0.35">
      <c r="A213" s="3">
        <v>44317</v>
      </c>
      <c r="B213" s="3" t="s">
        <v>231</v>
      </c>
      <c r="C213" s="5">
        <v>3082.15</v>
      </c>
      <c r="D213" s="5">
        <v>2951.17</v>
      </c>
      <c r="E213" s="5">
        <v>3139.32</v>
      </c>
      <c r="F213" s="5">
        <v>2930.78</v>
      </c>
      <c r="G213" s="1" t="s">
        <v>218</v>
      </c>
      <c r="H213" s="4">
        <v>4.07E-2</v>
      </c>
      <c r="I213" s="1">
        <f t="shared" si="6"/>
        <v>4.4382397489809131</v>
      </c>
      <c r="J213" s="1">
        <f t="shared" si="7"/>
        <v>208.53999999999996</v>
      </c>
    </row>
    <row r="214" spans="1:10" x14ac:dyDescent="0.35">
      <c r="A214" s="3">
        <v>44287</v>
      </c>
      <c r="B214" s="3" t="s">
        <v>231</v>
      </c>
      <c r="C214" s="5">
        <v>2961.66</v>
      </c>
      <c r="D214" s="5">
        <v>3113.32</v>
      </c>
      <c r="E214" s="5">
        <v>3272.59</v>
      </c>
      <c r="F214" s="5">
        <v>2946.39</v>
      </c>
      <c r="G214" s="1" t="s">
        <v>219</v>
      </c>
      <c r="H214" s="4">
        <v>-4.4699999999999997E-2</v>
      </c>
      <c r="I214" s="1">
        <f t="shared" si="6"/>
        <v>-4.8713270720645578</v>
      </c>
      <c r="J214" s="1">
        <f t="shared" si="7"/>
        <v>326.20000000000027</v>
      </c>
    </row>
    <row r="215" spans="1:10" x14ac:dyDescent="0.35">
      <c r="A215" s="3">
        <v>44256</v>
      </c>
      <c r="B215" s="3" t="s">
        <v>231</v>
      </c>
      <c r="C215" s="5">
        <v>3100.39</v>
      </c>
      <c r="D215" s="5">
        <v>2854.68</v>
      </c>
      <c r="E215" s="5">
        <v>3126.88</v>
      </c>
      <c r="F215" s="5">
        <v>2831.07</v>
      </c>
      <c r="G215" s="1" t="s">
        <v>220</v>
      </c>
      <c r="H215" s="4">
        <v>9.8000000000000004E-2</v>
      </c>
      <c r="I215" s="1">
        <f t="shared" si="6"/>
        <v>8.6072694662799343</v>
      </c>
      <c r="J215" s="1">
        <f t="shared" si="7"/>
        <v>295.80999999999995</v>
      </c>
    </row>
    <row r="216" spans="1:10" x14ac:dyDescent="0.35">
      <c r="A216" s="3">
        <v>44228</v>
      </c>
      <c r="B216" s="3" t="s">
        <v>231</v>
      </c>
      <c r="C216" s="5">
        <v>2823.75</v>
      </c>
      <c r="D216" s="5">
        <v>3024.44</v>
      </c>
      <c r="E216" s="5">
        <v>3166.69</v>
      </c>
      <c r="F216" s="5">
        <v>2809.8</v>
      </c>
      <c r="G216" s="1" t="s">
        <v>221</v>
      </c>
      <c r="H216" s="4">
        <v>-6.9800000000000001E-2</v>
      </c>
      <c r="I216" s="1">
        <f t="shared" si="6"/>
        <v>-6.6356085754718244</v>
      </c>
      <c r="J216" s="1">
        <f t="shared" si="7"/>
        <v>356.88999999999987</v>
      </c>
    </row>
    <row r="217" spans="1:10" x14ac:dyDescent="0.35">
      <c r="A217" s="3">
        <v>44197</v>
      </c>
      <c r="B217" s="3" t="s">
        <v>231</v>
      </c>
      <c r="C217" s="5">
        <v>3035.51</v>
      </c>
      <c r="D217" s="5">
        <v>2809.8</v>
      </c>
      <c r="E217" s="5">
        <v>3258.39</v>
      </c>
      <c r="F217" s="5">
        <v>2808.83</v>
      </c>
      <c r="G217" s="1" t="s">
        <v>222</v>
      </c>
      <c r="H217" s="4">
        <v>8.6800000000000002E-2</v>
      </c>
      <c r="I217" s="1">
        <f t="shared" si="6"/>
        <v>8.0329560822834374</v>
      </c>
      <c r="J217" s="1">
        <f t="shared" si="7"/>
        <v>449.55999999999995</v>
      </c>
    </row>
    <row r="218" spans="1:10" x14ac:dyDescent="0.35">
      <c r="A218" s="3">
        <v>44166</v>
      </c>
      <c r="B218" s="3" t="s">
        <v>231</v>
      </c>
      <c r="C218" s="5">
        <v>2792.97</v>
      </c>
      <c r="D218" s="5">
        <v>2613.6999999999998</v>
      </c>
      <c r="E218" s="5">
        <v>2880.05</v>
      </c>
      <c r="F218" s="5">
        <v>2560.48</v>
      </c>
      <c r="G218" s="1" t="s">
        <v>223</v>
      </c>
      <c r="H218" s="4">
        <v>6.83E-2</v>
      </c>
      <c r="I218" s="1">
        <f t="shared" si="6"/>
        <v>6.858859088648277</v>
      </c>
      <c r="J218" s="1">
        <f t="shared" si="7"/>
        <v>319.57000000000016</v>
      </c>
    </row>
    <row r="219" spans="1:10" x14ac:dyDescent="0.35">
      <c r="A219" s="3">
        <v>44136</v>
      </c>
      <c r="B219" s="3" t="s">
        <v>231</v>
      </c>
      <c r="C219" s="5">
        <v>2614.33</v>
      </c>
      <c r="D219" s="5">
        <v>2595.16</v>
      </c>
      <c r="E219" s="5">
        <v>2677.12</v>
      </c>
      <c r="F219" s="5">
        <v>2536.6799999999998</v>
      </c>
      <c r="G219" s="1" t="s">
        <v>224</v>
      </c>
      <c r="H219" s="4">
        <v>5.5999999999999999E-3</v>
      </c>
      <c r="I219" s="1">
        <f t="shared" si="6"/>
        <v>0.73868277871114207</v>
      </c>
      <c r="J219" s="1">
        <f t="shared" si="7"/>
        <v>140.44000000000005</v>
      </c>
    </row>
    <row r="220" spans="1:10" x14ac:dyDescent="0.35">
      <c r="A220" s="3">
        <v>44105</v>
      </c>
      <c r="B220" s="3" t="s">
        <v>231</v>
      </c>
      <c r="C220" s="5">
        <v>2599.9</v>
      </c>
      <c r="D220" s="5">
        <v>2448.8200000000002</v>
      </c>
      <c r="E220" s="5">
        <v>2814.68</v>
      </c>
      <c r="F220" s="5">
        <v>2431.5500000000002</v>
      </c>
      <c r="G220" s="1" t="s">
        <v>225</v>
      </c>
      <c r="H220" s="4">
        <v>6.9199999999999998E-2</v>
      </c>
      <c r="I220" s="1">
        <f t="shared" si="6"/>
        <v>6.1695020458833199</v>
      </c>
      <c r="J220" s="1">
        <f t="shared" si="7"/>
        <v>383.12999999999965</v>
      </c>
    </row>
    <row r="221" spans="1:10" x14ac:dyDescent="0.35">
      <c r="A221" s="3">
        <v>44075</v>
      </c>
      <c r="B221" s="3" t="s">
        <v>231</v>
      </c>
      <c r="C221" s="5">
        <v>2431.5500000000002</v>
      </c>
      <c r="D221" s="5">
        <v>2213.69</v>
      </c>
      <c r="E221" s="5">
        <v>2492.7199999999998</v>
      </c>
      <c r="F221" s="5">
        <v>2186.67</v>
      </c>
      <c r="G221" s="1" t="s">
        <v>226</v>
      </c>
      <c r="H221" s="4">
        <v>0.1041</v>
      </c>
      <c r="I221" s="1">
        <f t="shared" si="6"/>
        <v>9.841486386982826</v>
      </c>
      <c r="J221" s="1">
        <f t="shared" si="7"/>
        <v>306.04999999999973</v>
      </c>
    </row>
    <row r="222" spans="1:10" x14ac:dyDescent="0.35">
      <c r="A222" s="3">
        <v>44044</v>
      </c>
      <c r="B222" s="3" t="s">
        <v>231</v>
      </c>
      <c r="C222" s="5">
        <v>2202.23</v>
      </c>
      <c r="D222" s="5">
        <v>2234.62</v>
      </c>
      <c r="E222" s="5">
        <v>2271.2600000000002</v>
      </c>
      <c r="F222" s="5">
        <v>2162.4299999999998</v>
      </c>
      <c r="G222" s="1" t="s">
        <v>227</v>
      </c>
      <c r="H222" s="4">
        <v>-1.06E-2</v>
      </c>
      <c r="I222" s="1">
        <f t="shared" si="6"/>
        <v>-1.4494634434489924</v>
      </c>
      <c r="J222" s="1">
        <f t="shared" si="7"/>
        <v>108.83000000000038</v>
      </c>
    </row>
    <row r="223" spans="1:10" x14ac:dyDescent="0.35">
      <c r="A223" s="3">
        <v>44013</v>
      </c>
      <c r="B223" s="3" t="s">
        <v>231</v>
      </c>
      <c r="C223" s="5">
        <v>2225.79</v>
      </c>
      <c r="D223" s="5">
        <v>2029.01</v>
      </c>
      <c r="E223" s="5">
        <v>2300.52</v>
      </c>
      <c r="F223" s="5">
        <v>2028.81</v>
      </c>
      <c r="G223" s="1" t="s">
        <v>228</v>
      </c>
      <c r="H223" s="4">
        <v>9.5699999999999993E-2</v>
      </c>
      <c r="I223" s="1">
        <f t="shared" si="6"/>
        <v>9.6983257844958857</v>
      </c>
      <c r="J223" s="1">
        <f t="shared" si="7"/>
        <v>271.71000000000004</v>
      </c>
    </row>
    <row r="224" spans="1:10" x14ac:dyDescent="0.35">
      <c r="A224" s="3">
        <v>43983</v>
      </c>
      <c r="B224" s="3" t="s">
        <v>231</v>
      </c>
      <c r="C224" s="5">
        <v>2031.4</v>
      </c>
      <c r="D224" s="5">
        <v>1941.49</v>
      </c>
      <c r="E224" s="5">
        <v>2080.0300000000002</v>
      </c>
      <c r="F224" s="5">
        <v>1932.81</v>
      </c>
      <c r="G224" s="1" t="s">
        <v>229</v>
      </c>
      <c r="H224" s="4">
        <v>5.57E-2</v>
      </c>
      <c r="I224" s="1">
        <f t="shared" si="6"/>
        <v>4.6309792994040695</v>
      </c>
      <c r="J224" s="1">
        <f t="shared" si="7"/>
        <v>147.22000000000025</v>
      </c>
    </row>
    <row r="225" spans="1:10" x14ac:dyDescent="0.35">
      <c r="A225" s="3">
        <v>43952</v>
      </c>
      <c r="B225" s="3" t="s">
        <v>231</v>
      </c>
      <c r="C225" s="5">
        <v>1924.28</v>
      </c>
      <c r="D225" s="5">
        <v>1918.08</v>
      </c>
      <c r="E225" s="5">
        <v>1982.47</v>
      </c>
      <c r="F225" s="5">
        <v>1819.74</v>
      </c>
      <c r="G225" s="1" t="s">
        <v>230</v>
      </c>
      <c r="H225" s="4">
        <v>-2.0899999999999998E-2</v>
      </c>
      <c r="I225" s="1">
        <f t="shared" si="6"/>
        <v>0.32323990657324231</v>
      </c>
      <c r="J225" s="1">
        <f t="shared" si="7"/>
        <v>162.73000000000002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stock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NaaVxAbhi</dc:creator>
  <cp:lastModifiedBy> </cp:lastModifiedBy>
  <dcterms:created xsi:type="dcterms:W3CDTF">2026-04-30T10:44:10Z</dcterms:created>
  <dcterms:modified xsi:type="dcterms:W3CDTF">2026-04-30T11:45:21Z</dcterms:modified>
</cp:coreProperties>
</file>